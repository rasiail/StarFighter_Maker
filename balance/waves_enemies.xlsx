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000" windowHeight="12732"/>
  </bookViews>
  <sheets>
    <sheet name="Guide" sheetId="1" r:id="rId1"/>
    <sheet name="Stages" sheetId="2" r:id="rId2"/>
    <sheet name="Waves" sheetId="3" r:id="rId3"/>
    <sheet name="Enemies" sheetId="4" r:id="rId4"/>
    <sheet name="SpawnRules" sheetId="5" r:id="rId5"/>
    <sheet name="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<sst xmlns="http://schemas.openxmlformats.org/spreadsheetml/2006/main" count="122" uniqueCount="113">
  <si>
    <t>웨이브와 적 데이터</t>
  </si>
  <si>
    <t>스테이지/웨이브 진행과 적 스탯, 스폰 규칙을 관리하는 밸런스 데이터입니다. 노란색 셀은 수정 가능한 원본 데이터입니다. ID 열은 코드 참조이므로 변경할 때 관련 참조도 함께 수정합니다.</t>
  </si>
  <si>
    <t>item</t>
  </si>
  <si>
    <t>description</t>
  </si>
  <si>
    <t>Stages</t>
  </si>
  <si>
    <t>스테이지 공통값·보스 설정입니다. xp_reward_multiplier는 각 적과 보스의 경험치 배율이며 보상은 정수 반올림합니다.</t>
  </si>
  <si>
    <t>Waves</t>
  </si>
  <si>
    <t>각 스테이지의 웨이브별 처치 목표입니다.</t>
  </si>
  <si>
    <t>Enemies</t>
  </si>
  <si>
    <t>적 종류별 기본 체력·보상·충돌 크기입니다. stage_aircraft는 Stages의 aircraft_health를 사용합니다.</t>
  </si>
  <si>
    <t>SpawnRules</t>
  </si>
  <si>
    <r>
      <t>편대</t>
    </r>
    <r>
      <rPr>
        <sz val="10"/>
        <color rgb="FF222222"/>
        <rFont val="Arial"/>
        <charset val="134"/>
      </rPr>
      <t xml:space="preserve"> </t>
    </r>
    <r>
      <rPr>
        <sz val="10"/>
        <color rgb="FF222222"/>
        <rFont val="바탕체"/>
        <charset val="134"/>
      </rPr>
      <t>생성</t>
    </r>
    <r>
      <rPr>
        <sz val="10"/>
        <color rgb="FF222222"/>
        <rFont val="Arial"/>
        <charset val="134"/>
      </rPr>
      <t xml:space="preserve"> </t>
    </r>
    <r>
      <rPr>
        <sz val="10"/>
        <color rgb="FF222222"/>
        <rFont val="바탕체"/>
        <charset val="134"/>
      </rPr>
      <t>확률과</t>
    </r>
    <r>
      <rPr>
        <sz val="10"/>
        <color rgb="FF222222"/>
        <rFont val="Arial"/>
        <charset val="134"/>
      </rPr>
      <t xml:space="preserve"> </t>
    </r>
    <r>
      <rPr>
        <sz val="10"/>
        <color rgb="FF222222"/>
        <rFont val="바탕체"/>
        <charset val="134"/>
      </rPr>
      <t>스폰</t>
    </r>
    <r>
      <rPr>
        <sz val="10"/>
        <color rgb="FF222222"/>
        <rFont val="Arial"/>
        <charset val="134"/>
      </rPr>
      <t xml:space="preserve"> </t>
    </r>
    <r>
      <rPr>
        <sz val="10"/>
        <color rgb="FF222222"/>
        <rFont val="바탕체"/>
        <charset val="134"/>
      </rPr>
      <t>거리를</t>
    </r>
    <r>
      <rPr>
        <sz val="10"/>
        <color rgb="FF222222"/>
        <rFont val="Arial"/>
        <charset val="134"/>
      </rPr>
      <t xml:space="preserve"> </t>
    </r>
    <r>
      <rPr>
        <sz val="10"/>
        <color rgb="FF222222"/>
        <rFont val="바탕체"/>
        <charset val="134"/>
      </rPr>
      <t>관리합니다</t>
    </r>
    <r>
      <rPr>
        <sz val="10"/>
        <color rgb="FF222222"/>
        <rFont val="Arial"/>
        <charset val="134"/>
      </rPr>
      <t>.</t>
    </r>
  </si>
  <si>
    <t>주의</t>
  </si>
  <si>
    <t>전함 한 척은 현재 선체와 함포 두 개를 별도 타깃으로 생성합니다.</t>
  </si>
  <si>
    <t>스테이지 기본값</t>
  </si>
  <si>
    <t>웨이브 전체에 적용되는 값입니다.</t>
  </si>
  <si>
    <t>stage_id</t>
  </si>
  <si>
    <t>operation_name</t>
  </si>
  <si>
    <t>title</t>
  </si>
  <si>
    <t>environment_theme</t>
  </si>
  <si>
    <t>max_active</t>
  </si>
  <si>
    <t>attack_budget</t>
  </si>
  <si>
    <t>aircraft_health</t>
  </si>
  <si>
    <t>boss_health</t>
  </si>
  <si>
    <t>boss_name</t>
  </si>
  <si>
    <t>xp_reward_multiplier</t>
  </si>
  <si>
    <t>스테이지 ID</t>
  </si>
  <si>
    <t>연산 이름</t>
  </si>
  <si>
    <t>제목</t>
  </si>
  <si>
    <t>배경 테마</t>
  </si>
  <si>
    <t>최대 동시 존재 수</t>
  </si>
  <si>
    <t>동시 공격 허용 수</t>
  </si>
  <si>
    <t>일반 적 체력 기준값</t>
  </si>
  <si>
    <t>보스 체력</t>
  </si>
  <si>
    <t>보스 이름</t>
  </si>
  <si>
    <t>경험치 보상 배율</t>
  </si>
  <si>
    <t>OP: CANYON SCOUT</t>
  </si>
  <si>
    <t>STAGE 01: CANYON SCOUT</t>
  </si>
  <si>
    <t>DESERT</t>
  </si>
  <si>
    <t>CANYON LEVIATHAN</t>
  </si>
  <si>
    <t>OP: OCEAN TRIDENT</t>
  </si>
  <si>
    <t>STAGE 02: OCEAN TRIDENT</t>
  </si>
  <si>
    <t>OCEAN</t>
  </si>
  <si>
    <t>OCEAN DREADNOUGHT</t>
  </si>
  <si>
    <t>OP: METROPOLIS SHIELD</t>
  </si>
  <si>
    <t>STAGE 03: METROPOLIS SHIELD</t>
  </si>
  <si>
    <t>CITY</t>
  </si>
  <si>
    <t>METROPOLIS OVERLORD</t>
  </si>
  <si>
    <t>웨이브 목표</t>
  </si>
  <si>
    <t>한 행이 하나의 웨이브입니다.</t>
  </si>
  <si>
    <t>wave_index</t>
  </si>
  <si>
    <t>target_kills</t>
  </si>
  <si>
    <t>elite_ratio</t>
  </si>
  <si>
    <t>notes</t>
  </si>
  <si>
    <t>웨이브 인덱스</t>
  </si>
  <si>
    <t>목표 처치 수</t>
  </si>
  <si>
    <t>엘리트 비율</t>
  </si>
  <si>
    <t>비고</t>
  </si>
  <si>
    <t>적 기본값</t>
  </si>
  <si>
    <t>경험치와 점수 보상도 적 데이터와 함께 관리합니다.</t>
  </si>
  <si>
    <t>enemy_id</t>
  </si>
  <si>
    <t>display_name_ko</t>
  </si>
  <si>
    <t>health</t>
  </si>
  <si>
    <t>xp_reward</t>
  </si>
  <si>
    <t>score_reward</t>
  </si>
  <si>
    <t>hit_radius_m</t>
  </si>
  <si>
    <t>counts_as_target</t>
  </si>
  <si>
    <t>적 ID</t>
  </si>
  <si>
    <t>한국어 표시 이름</t>
  </si>
  <si>
    <t>체력</t>
  </si>
  <si>
    <t>경험치 보상</t>
  </si>
  <si>
    <t>점수 보상</t>
  </si>
  <si>
    <t>피격 반경 (m)</t>
  </si>
  <si>
    <t>목표 카운트 포함 여부</t>
  </si>
  <si>
    <t>stage_aircraft</t>
  </si>
  <si>
    <t>공중 적기</t>
  </si>
  <si>
    <t>체력은 Stages.aircraft_health</t>
  </si>
  <si>
    <t>tank</t>
  </si>
  <si>
    <t>전차</t>
  </si>
  <si>
    <t>ship_hull</t>
  </si>
  <si>
    <t>전함 선체</t>
  </si>
  <si>
    <t>파괴 시 연결 함포 무력화</t>
  </si>
  <si>
    <t>ship_turret</t>
  </si>
  <si>
    <t>전함 함포</t>
  </si>
  <si>
    <t>boss</t>
  </si>
  <si>
    <t>보스</t>
  </si>
  <si>
    <t>체력은 Stages.boss_health</t>
  </si>
  <si>
    <t>elite</t>
  </si>
  <si>
    <t>엘리트</t>
  </si>
  <si>
    <t>정예 전투기</t>
  </si>
  <si>
    <t>생성 규칙</t>
  </si>
  <si>
    <t>현재 편대 생성기의 공통 설정입니다.</t>
  </si>
  <si>
    <t>rule_id</t>
  </si>
  <si>
    <t>value</t>
  </si>
  <si>
    <t>unit</t>
  </si>
  <si>
    <t>규칙 ID</t>
  </si>
  <si>
    <t>값</t>
  </si>
  <si>
    <t>단위</t>
  </si>
  <si>
    <t>ground_or_ship_probability</t>
  </si>
  <si>
    <t>ratio</t>
  </si>
  <si>
    <t>환경에 따라 전차 또는 전함</t>
  </si>
  <si>
    <t>spawn_range_min</t>
  </si>
  <si>
    <t>m</t>
  </si>
  <si>
    <t>플레이어 기준</t>
  </si>
  <si>
    <t>spawn_range_max</t>
  </si>
  <si>
    <t>reinforcement_interval</t>
  </si>
  <si>
    <t>sec</t>
  </si>
  <si>
    <t>증원 검사 간격</t>
  </si>
  <si>
    <t>스테이지 분량</t>
  </si>
  <si>
    <t>Waves의 목표 합계를 요약합니다.</t>
  </si>
  <si>
    <t>total_wave_kills</t>
  </si>
  <si>
    <t>boss_count</t>
  </si>
  <si>
    <t>total_targets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</si>
</sst>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</numFmts>
  <fonts count="27">
    <font>
      <sz val="11"/>
      <name val="Carlito"/>
      <charset val="134"/>
    </font>
    <font>
      <b/>
      <sz val="16"/>
      <color rgb="FF222222"/>
      <name val="Arial"/>
      <charset val="134"/>
    </font>
    <font>
      <i/>
      <sz val="10"/>
      <color rgb="FF666666"/>
      <name val="Arial"/>
      <charset val="134"/>
    </font>
    <font>
      <b/>
      <sz val="10"/>
      <color rgb="FFFFFFFF"/>
      <name val="Arial"/>
      <charset val="134"/>
    </font>
    <font>
      <sz val="10"/>
      <color rgb="FF222222"/>
      <name val="Arial"/>
      <charset val="134"/>
    </font>
    <font>
      <i/>
      <sz val="11"/>
      <color rgb="FF555555"/>
      <name val="Carlito"/>
      <charset val="134"/>
    </font>
    <font>
      <sz val="10"/>
      <color rgb="FF222222"/>
      <name val="바탕체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3395B"/>
        <bgColor indexed="64"/>
      </patternFill>
    </fill>
    <fill>
      <patternFill patternType="solid">
        <fgColor rgb="FFEEEEEE"/>
        <bgColor rgb="FFEEEEEE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0"/>
    <xf numFmtId="0" fontId="0" fillId="0" borderId="0" xfId="49"/>
    <xf numFmtId="0" fontId="1" fillId="0" borderId="0" xfId="49" applyFont="1"/>
    <xf numFmtId="0" fontId="2" fillId="0" borderId="0" xfId="49" applyFont="1"/>
    <xf numFmtId="0" fontId="3" fillId="2" borderId="1" xfId="49" applyFont="1" applyFill="1" applyBorder="1" applyAlignment="1">
      <alignment horizontal="center" vertical="center" wrapText="1"/>
    </xf>
    <xf numFmtId="0" fontId="3" fillId="2" borderId="2" xfId="49" applyFont="1" applyFill="1" applyBorder="1" applyAlignment="1">
      <alignment horizontal="center" vertical="center" wrapText="1"/>
    </xf>
    <xf numFmtId="0" fontId="3" fillId="2" borderId="3" xfId="49" applyFont="1" applyFill="1" applyBorder="1" applyAlignment="1">
      <alignment horizontal="center" vertical="center" wrapText="1"/>
    </xf>
    <xf numFmtId="3" fontId="4" fillId="0" borderId="0" xfId="49" applyNumberFormat="1" applyFont="1" applyAlignment="1">
      <alignment vertical="center" wrapText="1"/>
    </xf>
    <xf numFmtId="0" fontId="5" fillId="3" borderId="0" xfId="0" applyFont="1" applyFill="1"/>
    <xf numFmtId="0" fontId="4" fillId="4" borderId="0" xfId="49" applyFont="1" applyFill="1" applyAlignment="1">
      <alignment vertical="center" wrapText="1"/>
    </xf>
    <xf numFmtId="2" fontId="0" fillId="0" borderId="0" xfId="49" applyNumberFormat="1"/>
    <xf numFmtId="0" fontId="4" fillId="0" borderId="0" xfId="49" applyFont="1" applyAlignment="1">
      <alignment vertical="center" wrapText="1"/>
    </xf>
    <xf numFmtId="0" fontId="6" fillId="0" borderId="0" xfId="49" applyFont="1" applyAlignment="1">
      <alignment vertical="center" wrapText="1"/>
    </xf>
  </cellXfs>
  <cellStyles count="50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GuideTable" displayName="GuideTable" ref="A4:B9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sTable" displayName="StagesTable" ref="A4:J7" totalsRowShown="0">
  <tableColumns count="10">
    <tableColumn id="1" name="stage_id"/>
    <tableColumn id="2" name="operation_name"/>
    <tableColumn id="3" name="title"/>
    <tableColumn id="4" name="environment_theme"/>
    <tableColumn id="5" name="max_active"/>
    <tableColumn id="6" name="attack_budget"/>
    <tableColumn id="7" name="aircraft_health"/>
    <tableColumn id="8" name="boss_health"/>
    <tableColumn id="9" name="boss_name"/>
    <tableColumn id="10" name="xp_reward_multi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avesTable" displayName="WavesTable" ref="A4:D19" totalsRowShown="0">
  <tableColumns count="4">
    <tableColumn id="1" name="stage_id"/>
    <tableColumn id="2" name="wave_index"/>
    <tableColumn id="3" name="target_kills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emiesTable" displayName="EnemiesTable" ref="A4:H9" totalsRowShown="0">
  <tableColumns count="8">
    <tableColumn id="1" name="enemy_id"/>
    <tableColumn id="2" name="display_name_ko"/>
    <tableColumn id="3" name="health"/>
    <tableColumn id="4" name="xp_reward"/>
    <tableColumn id="5" name="score_reward"/>
    <tableColumn id="6" name="hit_radius_m"/>
    <tableColumn id="7" name="counts_as_target"/>
    <tableColumn id="8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pawnRulesTable" displayName="SpawnRulesTable" ref="A4:D8" totalsRowShown="0">
  <tableColumns count="4">
    <tableColumn id="1" name="rule_id"/>
    <tableColumn id="2" name="value"/>
    <tableColumn id="3" name="unit"/>
    <tableColumn id="4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ummaryTable" displayName="SummaryTable" ref="A4:D7" totalsRowShown="0">
  <tableColumns count="4">
    <tableColumn id="1" name="stage_id"/>
    <tableColumn id="2" name="total_wave_kills"/>
    <tableColumn id="3" name="boss_count"/>
    <tableColumn id="4" name="total_targe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showGridLines="0" tabSelected="1" workbookViewId="0">
      <pane ySplit="4" topLeftCell="A5" activePane="bottomLeft" state="frozen"/>
      <selection/>
      <selection pane="bottomLeft" activeCell="B11" sqref="B11"/>
    </sheetView>
  </sheetViews>
  <sheetFormatPr defaultColWidth="9" defaultRowHeight="13.8" outlineLevelCol="1"/>
  <cols>
    <col min="1" max="1" width="22.5" style="1" customWidth="1"/>
    <col min="2" max="2" width="77.5" style="1" customWidth="1"/>
  </cols>
  <sheetData>
    <row r="1" ht="19.15" customHeight="1" spans="1:2">
      <c r="A1" s="2" t="s">
        <v>0</v>
      </c>
    </row>
    <row r="2" ht="15" customHeight="1" spans="1:2">
      <c r="A2" s="3" t="s">
        <v>1</v>
      </c>
    </row>
    <row r="4" ht="15" customHeight="1" spans="1:2">
      <c r="A4" s="4" t="s">
        <v>2</v>
      </c>
      <c r="B4" s="6" t="s">
        <v>3</v>
      </c>
    </row>
    <row r="5" ht="15" customHeight="1" spans="1:2">
      <c r="A5" s="11" t="s">
        <v>4</v>
      </c>
      <c r="B5" s="11" t="s">
        <v>5</v>
      </c>
    </row>
    <row r="6" ht="15" customHeight="1" spans="1:2">
      <c r="A6" s="11" t="s">
        <v>6</v>
      </c>
      <c r="B6" s="11" t="s">
        <v>7</v>
      </c>
    </row>
    <row r="7" ht="15" customHeight="1" spans="1:2">
      <c r="A7" s="11" t="s">
        <v>8</v>
      </c>
      <c r="B7" s="11" t="s">
        <v>9</v>
      </c>
    </row>
    <row r="8" ht="15" customHeight="1" spans="1:2">
      <c r="A8" s="11" t="s">
        <v>10</v>
      </c>
      <c r="B8" s="12" t="s">
        <v>11</v>
      </c>
    </row>
    <row r="9" ht="15" customHeight="1" spans="1:2">
      <c r="A9" s="11" t="s">
        <v>12</v>
      </c>
      <c r="B9" s="11" t="s">
        <v>13</v>
      </c>
    </row>
  </sheetData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3.8" outlineLevelRow="7"/>
  <cols>
    <col min="1" max="1" width="10" style="1" customWidth="1"/>
    <col min="2" max="2" width="23.75" style="1" customWidth="1"/>
    <col min="3" max="3" width="27.5" style="1" customWidth="1"/>
    <col min="4" max="4" width="15" style="1" customWidth="1"/>
    <col min="5" max="5" width="12.5" style="1" customWidth="1"/>
    <col min="6" max="6" width="13.75" style="1" customWidth="1"/>
    <col min="7" max="7" width="15" style="1" customWidth="1"/>
    <col min="8" max="8" width="13.75" style="1" customWidth="1"/>
    <col min="9" max="9" width="26.25" style="1" customWidth="1"/>
    <col min="10" max="10" width="24" style="1" customWidth="1"/>
  </cols>
  <sheetData>
    <row r="1" ht="19.15" customHeight="1" spans="1:10">
      <c r="A1" s="2" t="s">
        <v>14</v>
      </c>
    </row>
    <row r="2" ht="15" customHeight="1" spans="1:10">
      <c r="A2" s="3" t="s">
        <v>15</v>
      </c>
    </row>
    <row r="4" ht="15" customHeight="1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  <c r="G4" s="5" t="s">
        <v>22</v>
      </c>
      <c r="H4" s="5" t="s">
        <v>23</v>
      </c>
      <c r="I4" s="6" t="s">
        <v>24</v>
      </c>
      <c r="J4" t="s">
        <v>25</v>
      </c>
    </row>
    <row r="5" ht="15" customHeight="1" spans="1:10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</row>
    <row r="6" ht="15" customHeight="1" spans="1:10">
      <c r="A6" s="9">
        <v>1</v>
      </c>
      <c r="B6" s="9" t="s">
        <v>36</v>
      </c>
      <c r="C6" s="9" t="s">
        <v>37</v>
      </c>
      <c r="D6" s="9" t="s">
        <v>38</v>
      </c>
      <c r="E6" s="9">
        <v>30</v>
      </c>
      <c r="F6" s="9">
        <v>4</v>
      </c>
      <c r="G6" s="9">
        <v>60</v>
      </c>
      <c r="H6" s="9">
        <v>2200</v>
      </c>
      <c r="I6" s="9" t="s">
        <v>39</v>
      </c>
      <c r="J6" s="10">
        <v>0.85</v>
      </c>
    </row>
    <row r="7" ht="15" customHeight="1" spans="1:10">
      <c r="A7" s="9">
        <v>2</v>
      </c>
      <c r="B7" s="9" t="s">
        <v>40</v>
      </c>
      <c r="C7" s="9" t="s">
        <v>41</v>
      </c>
      <c r="D7" s="9" t="s">
        <v>42</v>
      </c>
      <c r="E7" s="9">
        <v>36</v>
      </c>
      <c r="F7" s="9">
        <v>5</v>
      </c>
      <c r="G7" s="9">
        <v>100</v>
      </c>
      <c r="H7" s="9">
        <v>3400</v>
      </c>
      <c r="I7" s="9" t="s">
        <v>43</v>
      </c>
      <c r="J7" s="10">
        <v>0.9</v>
      </c>
    </row>
    <row r="8" spans="1:10">
      <c r="A8" s="9">
        <v>3</v>
      </c>
      <c r="B8" s="9" t="s">
        <v>44</v>
      </c>
      <c r="C8" s="9" t="s">
        <v>45</v>
      </c>
      <c r="D8" s="9" t="s">
        <v>46</v>
      </c>
      <c r="E8" s="9">
        <v>42</v>
      </c>
      <c r="F8" s="9">
        <v>6</v>
      </c>
      <c r="G8" s="9">
        <v>120</v>
      </c>
      <c r="H8" s="9">
        <v>4800</v>
      </c>
      <c r="I8" s="9" t="s">
        <v>47</v>
      </c>
      <c r="J8" s="10">
        <v>1.4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3.8" outlineLevelCol="4"/>
  <cols>
    <col min="1" max="2" width="12.5" style="1" customWidth="1"/>
    <col min="3" max="3" width="13.75" style="1" customWidth="1"/>
    <col min="4" max="4" width="32.5" style="1" customWidth="1"/>
  </cols>
  <sheetData>
    <row r="1" ht="19.15" customHeight="1" spans="1:5">
      <c r="A1" s="2" t="s">
        <v>48</v>
      </c>
    </row>
    <row r="2" ht="15" customHeight="1" spans="1:5">
      <c r="A2" s="3" t="s">
        <v>49</v>
      </c>
    </row>
    <row r="4" ht="15" customHeight="1" spans="1:5">
      <c r="A4" s="4" t="s">
        <v>16</v>
      </c>
      <c r="B4" s="5" t="s">
        <v>50</v>
      </c>
      <c r="C4" s="5" t="s">
        <v>51</v>
      </c>
      <c r="D4" t="s">
        <v>52</v>
      </c>
      <c r="E4" s="6" t="s">
        <v>53</v>
      </c>
    </row>
    <row r="5" ht="15" customHeight="1" spans="1:5">
      <c r="A5" s="8" t="s">
        <v>26</v>
      </c>
      <c r="B5" s="8" t="s">
        <v>54</v>
      </c>
      <c r="C5" s="8" t="s">
        <v>55</v>
      </c>
      <c r="D5" t="s">
        <v>56</v>
      </c>
      <c r="E5" s="8" t="s">
        <v>57</v>
      </c>
    </row>
    <row r="6" ht="15" customHeight="1" spans="1:5">
      <c r="A6" s="9">
        <v>1</v>
      </c>
      <c r="B6" s="9">
        <v>1</v>
      </c>
      <c r="C6" s="9">
        <v>16</v>
      </c>
      <c r="D6">
        <v>0</v>
      </c>
      <c r="E6" s="9"/>
    </row>
    <row r="7" ht="15" customHeight="1" spans="1:5">
      <c r="A7" s="9">
        <v>1</v>
      </c>
      <c r="B7" s="9">
        <v>2</v>
      </c>
      <c r="C7" s="9">
        <v>24</v>
      </c>
      <c r="D7">
        <v>0.1</v>
      </c>
      <c r="E7" s="9"/>
    </row>
    <row r="8" ht="15" customHeight="1" spans="1:5">
      <c r="A8" s="9">
        <v>1</v>
      </c>
      <c r="B8" s="9">
        <v>3</v>
      </c>
      <c r="C8" s="9">
        <v>31</v>
      </c>
      <c r="D8">
        <v>0.15</v>
      </c>
      <c r="E8" s="9"/>
    </row>
    <row r="9" ht="15" customHeight="1" spans="1:5">
      <c r="A9" s="9">
        <v>2</v>
      </c>
      <c r="B9" s="9">
        <v>1</v>
      </c>
      <c r="C9" s="9">
        <v>29</v>
      </c>
      <c r="D9">
        <v>0</v>
      </c>
      <c r="E9" s="9"/>
    </row>
    <row r="10" ht="15" customHeight="1" spans="1:5">
      <c r="A10" s="9">
        <v>2</v>
      </c>
      <c r="B10" s="9">
        <v>2</v>
      </c>
      <c r="C10" s="9">
        <v>37</v>
      </c>
      <c r="D10">
        <v>0.1</v>
      </c>
      <c r="E10" s="9"/>
    </row>
    <row r="11" ht="15" customHeight="1" spans="1:5">
      <c r="A11" s="9">
        <v>2</v>
      </c>
      <c r="B11" s="9">
        <v>3</v>
      </c>
      <c r="C11" s="9">
        <v>44</v>
      </c>
      <c r="D11">
        <v>0.15</v>
      </c>
      <c r="E11" s="9"/>
    </row>
    <row r="12" ht="15" customHeight="1" spans="1:5">
      <c r="A12" s="9">
        <v>2</v>
      </c>
      <c r="B12" s="9">
        <v>4</v>
      </c>
      <c r="C12" s="9">
        <v>50</v>
      </c>
      <c r="D12">
        <v>0.2</v>
      </c>
      <c r="E12" s="9"/>
    </row>
    <row r="13" ht="15" customHeight="1" spans="1:5">
      <c r="A13" s="9">
        <v>3</v>
      </c>
      <c r="B13" s="9">
        <v>1</v>
      </c>
      <c r="C13" s="9">
        <v>40</v>
      </c>
      <c r="D13">
        <v>0</v>
      </c>
      <c r="E13" s="9"/>
    </row>
    <row r="14" ht="15" customHeight="1" spans="1:5">
      <c r="A14" s="9">
        <v>3</v>
      </c>
      <c r="B14" s="9">
        <v>2</v>
      </c>
      <c r="C14" s="9">
        <v>47</v>
      </c>
      <c r="D14">
        <v>0.1</v>
      </c>
      <c r="E14" s="9"/>
    </row>
    <row r="15" ht="15" customHeight="1" spans="1:5">
      <c r="A15" s="9">
        <v>3</v>
      </c>
      <c r="B15" s="9">
        <v>3</v>
      </c>
      <c r="C15" s="9">
        <v>54</v>
      </c>
      <c r="D15">
        <v>0.15</v>
      </c>
      <c r="E15" s="9"/>
    </row>
    <row r="16" ht="15" customHeight="1" spans="1:5">
      <c r="A16" s="9">
        <v>3</v>
      </c>
      <c r="B16" s="9">
        <v>4</v>
      </c>
      <c r="C16" s="9">
        <v>61</v>
      </c>
      <c r="D16">
        <v>0.2</v>
      </c>
      <c r="E16" s="9"/>
    </row>
    <row r="17" ht="15" customHeight="1" spans="1:5">
      <c r="A17" s="9">
        <v>3</v>
      </c>
      <c r="B17" s="9">
        <v>5</v>
      </c>
      <c r="C17" s="9">
        <v>67</v>
      </c>
      <c r="D17">
        <v>0.25</v>
      </c>
      <c r="E17" s="9"/>
    </row>
    <row r="18" ht="15" customHeight="1" spans="1:5">
      <c r="A18" s="9"/>
      <c r="B18" s="9"/>
      <c r="C18" s="9"/>
      <c r="E18" s="9"/>
    </row>
    <row r="19" ht="15" customHeight="1" spans="1:5">
      <c r="A19" s="9"/>
      <c r="B19" s="9"/>
      <c r="C19" s="9"/>
      <c r="E19" s="9"/>
    </row>
    <row r="20" spans="1:5">
      <c r="A20" s="9"/>
      <c r="B20" s="9"/>
      <c r="C20" s="9"/>
      <c r="E20" s="9"/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3.8" outlineLevelCol="7"/>
  <cols>
    <col min="1" max="1" width="16.25" style="1" customWidth="1"/>
    <col min="2" max="2" width="18.75" style="1" customWidth="1"/>
    <col min="3" max="3" width="11.25" style="1" customWidth="1"/>
    <col min="4" max="4" width="12.5" style="1" customWidth="1"/>
    <col min="5" max="6" width="13.75" style="1" customWidth="1"/>
    <col min="7" max="7" width="16.25" style="1" customWidth="1"/>
    <col min="8" max="8" width="32.5" style="1" customWidth="1"/>
  </cols>
  <sheetData>
    <row r="1" ht="19.15" customHeight="1" spans="1:8">
      <c r="A1" s="2" t="s">
        <v>58</v>
      </c>
    </row>
    <row r="2" ht="15" customHeight="1" spans="1:8">
      <c r="A2" s="3" t="s">
        <v>59</v>
      </c>
    </row>
    <row r="4" ht="15" customHeight="1" spans="1:8">
      <c r="A4" s="4" t="s">
        <v>60</v>
      </c>
      <c r="B4" s="5" t="s">
        <v>61</v>
      </c>
      <c r="C4" s="5" t="s">
        <v>62</v>
      </c>
      <c r="D4" s="5" t="s">
        <v>63</v>
      </c>
      <c r="E4" s="5" t="s">
        <v>64</v>
      </c>
      <c r="F4" s="5" t="s">
        <v>65</v>
      </c>
      <c r="G4" s="5" t="s">
        <v>66</v>
      </c>
      <c r="H4" s="6" t="s">
        <v>53</v>
      </c>
    </row>
    <row r="5" ht="15" customHeight="1" spans="1:8">
      <c r="A5" s="8" t="s">
        <v>67</v>
      </c>
      <c r="B5" s="8" t="s">
        <v>68</v>
      </c>
      <c r="C5" s="8" t="s">
        <v>69</v>
      </c>
      <c r="D5" s="8" t="s">
        <v>70</v>
      </c>
      <c r="E5" s="8" t="s">
        <v>71</v>
      </c>
      <c r="F5" s="8" t="s">
        <v>72</v>
      </c>
      <c r="G5" s="8" t="s">
        <v>73</v>
      </c>
      <c r="H5" s="8" t="s">
        <v>57</v>
      </c>
    </row>
    <row r="6" ht="15" customHeight="1" spans="1:8">
      <c r="A6" s="9" t="s">
        <v>74</v>
      </c>
      <c r="B6" s="9" t="s">
        <v>75</v>
      </c>
      <c r="C6" s="9"/>
      <c r="D6" s="9">
        <v>20</v>
      </c>
      <c r="E6" s="9">
        <v>1500</v>
      </c>
      <c r="F6" s="9">
        <v>20</v>
      </c>
      <c r="G6" s="9" t="b">
        <v>1</v>
      </c>
      <c r="H6" s="9" t="s">
        <v>76</v>
      </c>
    </row>
    <row r="7" ht="15" customHeight="1" spans="1:8">
      <c r="A7" s="9" t="s">
        <v>77</v>
      </c>
      <c r="B7" s="9" t="s">
        <v>78</v>
      </c>
      <c r="C7" s="9">
        <v>100</v>
      </c>
      <c r="D7" s="9">
        <v>25</v>
      </c>
      <c r="E7" s="9">
        <v>1500</v>
      </c>
      <c r="F7" s="9">
        <v>18</v>
      </c>
      <c r="G7" s="9" t="b">
        <v>1</v>
      </c>
      <c r="H7" s="9"/>
    </row>
    <row r="8" ht="15" customHeight="1" spans="1:8">
      <c r="A8" s="9" t="s">
        <v>79</v>
      </c>
      <c r="B8" s="9" t="s">
        <v>80</v>
      </c>
      <c r="C8" s="9">
        <v>300</v>
      </c>
      <c r="D8" s="9">
        <v>80</v>
      </c>
      <c r="E8" s="9">
        <v>3500</v>
      </c>
      <c r="F8" s="9">
        <v>38</v>
      </c>
      <c r="G8" s="9" t="b">
        <v>1</v>
      </c>
      <c r="H8" s="9" t="s">
        <v>81</v>
      </c>
    </row>
    <row r="9" ht="15" customHeight="1" spans="1:8">
      <c r="A9" s="9" t="s">
        <v>82</v>
      </c>
      <c r="B9" s="9" t="s">
        <v>83</v>
      </c>
      <c r="C9" s="9">
        <v>100</v>
      </c>
      <c r="D9" s="9">
        <v>20</v>
      </c>
      <c r="E9" s="9">
        <v>1000</v>
      </c>
      <c r="F9" s="9">
        <v>18</v>
      </c>
      <c r="G9" s="9" t="b">
        <v>1</v>
      </c>
      <c r="H9" s="9"/>
    </row>
    <row r="10" spans="1:8">
      <c r="A10" s="9" t="s">
        <v>84</v>
      </c>
      <c r="B10" s="9" t="s">
        <v>85</v>
      </c>
      <c r="C10" s="9"/>
      <c r="D10" s="9">
        <v>200</v>
      </c>
      <c r="E10" s="9">
        <v>1500</v>
      </c>
      <c r="F10" s="9">
        <v>65</v>
      </c>
      <c r="G10" s="9" t="b">
        <v>1</v>
      </c>
      <c r="H10" s="9" t="s">
        <v>86</v>
      </c>
    </row>
    <row r="11" spans="1:8">
      <c r="A11" t="s">
        <v>87</v>
      </c>
      <c r="B11" t="s">
        <v>88</v>
      </c>
      <c r="C11">
        <v>250</v>
      </c>
      <c r="D11">
        <v>100</v>
      </c>
      <c r="E11">
        <v>3000</v>
      </c>
      <c r="F11">
        <v>24</v>
      </c>
      <c r="G11" t="b">
        <v>1</v>
      </c>
      <c r="H11" t="s">
        <v>89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3.8" outlineLevelCol="3"/>
  <cols>
    <col min="1" max="1" width="27.5" style="1" customWidth="1"/>
    <col min="2" max="3" width="12.5" style="1" customWidth="1"/>
    <col min="4" max="4" width="37.5" style="1" customWidth="1"/>
  </cols>
  <sheetData>
    <row r="1" ht="19.15" customHeight="1" spans="1:4">
      <c r="A1" s="2" t="s">
        <v>90</v>
      </c>
    </row>
    <row r="2" ht="15" customHeight="1" spans="1:4">
      <c r="A2" s="3" t="s">
        <v>91</v>
      </c>
    </row>
    <row r="4" ht="15" customHeight="1" spans="1:4">
      <c r="A4" s="4" t="s">
        <v>92</v>
      </c>
      <c r="B4" s="5" t="s">
        <v>93</v>
      </c>
      <c r="C4" s="5" t="s">
        <v>94</v>
      </c>
      <c r="D4" s="6" t="s">
        <v>53</v>
      </c>
    </row>
    <row r="5" ht="15" customHeight="1" spans="1:4">
      <c r="A5" s="8" t="s">
        <v>95</v>
      </c>
      <c r="B5" s="8" t="s">
        <v>96</v>
      </c>
      <c r="C5" s="8" t="s">
        <v>97</v>
      </c>
      <c r="D5" s="8" t="s">
        <v>57</v>
      </c>
    </row>
    <row r="6" ht="15" customHeight="1" spans="1:4">
      <c r="A6" s="9" t="s">
        <v>98</v>
      </c>
      <c r="B6" s="9">
        <v>0.25</v>
      </c>
      <c r="C6" s="9" t="s">
        <v>99</v>
      </c>
      <c r="D6" s="9" t="s">
        <v>100</v>
      </c>
    </row>
    <row r="7" ht="15" customHeight="1" spans="1:4">
      <c r="A7" s="9" t="s">
        <v>101</v>
      </c>
      <c r="B7" s="9">
        <v>1500</v>
      </c>
      <c r="C7" s="9" t="s">
        <v>102</v>
      </c>
      <c r="D7" s="9" t="s">
        <v>103</v>
      </c>
    </row>
    <row r="8" ht="15" customHeight="1" spans="1:4">
      <c r="A8" s="9" t="s">
        <v>104</v>
      </c>
      <c r="B8" s="9">
        <v>3500</v>
      </c>
      <c r="C8" s="9" t="s">
        <v>102</v>
      </c>
      <c r="D8" s="9" t="s">
        <v>103</v>
      </c>
    </row>
    <row r="9" spans="1:4">
      <c r="A9" s="9" t="s">
        <v>105</v>
      </c>
      <c r="B9" s="9">
        <v>1</v>
      </c>
      <c r="C9" s="9" t="s">
        <v>106</v>
      </c>
      <c r="D9" s="9" t="s">
        <v>107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3.8" outlineLevelRow="6" outlineLevelCol="3"/>
  <cols>
    <col min="1" max="1" width="12.5" style="1" customWidth="1"/>
    <col min="2" max="2" width="18.75" style="1" customWidth="1"/>
    <col min="3" max="3" width="13.75" style="1" customWidth="1"/>
    <col min="4" max="4" width="16.25" style="1" customWidth="1"/>
  </cols>
  <sheetData>
    <row r="1" ht="19.15" customHeight="1" spans="1:4">
      <c r="A1" s="2" t="s">
        <v>108</v>
      </c>
    </row>
    <row r="2" ht="15" customHeight="1" spans="1:4">
      <c r="A2" s="3" t="s">
        <v>109</v>
      </c>
    </row>
    <row r="4" ht="15" customHeight="1" spans="1:4">
      <c r="A4" s="4" t="s">
        <v>16</v>
      </c>
      <c r="B4" s="5" t="s">
        <v>110</v>
      </c>
      <c r="C4" s="5" t="s">
        <v>111</v>
      </c>
      <c r="D4" s="6" t="s">
        <v>112</v>
      </c>
    </row>
    <row r="5" ht="15" customHeight="1" spans="1:4">
      <c r="A5" s="7">
        <v>1</v>
      </c>
      <c r="B5" s="7">
        <f>SUMIF(Waves!$A$5:$A$19,A5,Waves!$C$5:$C$19)</f>
        <v>71</v>
      </c>
      <c r="C5" s="7">
        <v>1</v>
      </c>
      <c r="D5" s="7">
        <f>B5+C5</f>
        <v>72</v>
      </c>
    </row>
    <row r="6" ht="15" customHeight="1" spans="1:4">
      <c r="A6" s="7">
        <v>2</v>
      </c>
      <c r="B6" s="7">
        <f>SUMIF(Waves!$A$5:$A$19,A6,Waves!$C$5:$C$19)</f>
        <v>160</v>
      </c>
      <c r="C6" s="7">
        <v>1</v>
      </c>
      <c r="D6" s="7">
        <f>B6+C6</f>
        <v>161</v>
      </c>
    </row>
    <row r="7" ht="15" customHeight="1" spans="1:4">
      <c r="A7" s="7">
        <v>3</v>
      </c>
      <c r="B7" s="7">
        <f>SUMIF(Waves!$A$5:$A$19,A7,Waves!$C$5:$C$19)</f>
        <v>269</v>
      </c>
      <c r="C7" s="7">
        <v>1</v>
      </c>
      <c r="D7" s="7">
        <f>B7+C7</f>
        <v>270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Guide</vt:lpstr>
      <vt:lpstr>Stages</vt:lpstr>
      <vt:lpstr>Waves</vt:lpstr>
      <vt:lpstr>Enemies</vt:lpstr>
      <vt:lpstr>SpawnRules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rasia</cp:lastModifiedBy>
  <dcterms:created xsi:type="dcterms:W3CDTF">2026-09-21T01:56:00Z</dcterms:created>
  <dcterms:modified xsi:type="dcterms:W3CDTF">2026-09-23T15:42:06Z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B465F84EB2A94B77941214EED80F1B36_12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
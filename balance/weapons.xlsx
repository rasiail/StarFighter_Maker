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CY\AI\test\StarFighter\balance\"/>
    </mc:Choice>
  </mc:AlternateContent>
  <bookViews>
    <workbookView xWindow="0" yWindow="0" windowWidth="21570" windowHeight="11445" activeTab="1"/>
  </bookViews>
  <sheets>
    <sheet name="Guide" sheetId="1" r:id="rId1"/>
    <sheet name="Weapons" sheetId="2" r:id="rId2"/>
    <sheet name="Comparison" sheetId="3" r:id="rId3"/>
  </sheets>
  <calcPr calcId="162913"/>
</workbook>
</file>

<file path=xl/calcChain.xml><?xml version="1.0" encoding="utf-8"?>
<calcChain xmlns="http://schemas.openxmlformats.org/spreadsheetml/2006/main">
  <c r="D6" i="3" l="1"/>
  <c r="C6" i="3"/>
  <c r="B6" i="3"/>
  <c r="E6" i="3" s="1"/>
  <c r="D5" i="3"/>
  <c r="C5" i="3"/>
  <c r="B5" i="3"/>
  <c r="F5" i="3" s="1"/>
  <c r="F6" i="3" l="1"/>
  <c r="E5" i="3"/>
</calcChain>
</file>

<file path=xl/sharedStrings.xml><?xml version="1.0" encoding="utf-8"?>
<sst xmlns="http://schemas.openxmlformats.org/spreadsheetml/2006/main" count="98" uniqueCount="77">
  <si>
    <t>무기 데이터</t>
  </si>
  <si>
    <t>플레이어와 적의 무기 스탯(피해량, 사거리, 속력 등)을 관리하는 밸런스 데이터입니다. 노란색 셀은 수정 가능한 원본 데이터입니다. ID 열은 코드 참조이므로 변경할 때 관련 참조도 함께 수정합니다.</t>
  </si>
  <si>
    <t>item</t>
  </si>
  <si>
    <t>description</t>
  </si>
  <si>
    <t>Weapons</t>
  </si>
  <si>
    <t>플레이어와 적 무기의 기본 전투 수치를 관리합니다. 빈 셀은 해당 무기에 적용되지 않는 항목입니다.</t>
  </si>
  <si>
    <t>weapon_id</t>
  </si>
  <si>
    <t>엔진 공통 영문 식별자입니다.</t>
  </si>
  <si>
    <t>reload_sec</t>
  </si>
  <si>
    <t>탄창 소진 후 전체 재장전 시간입니다. ready_slots는 탄창 용량입니다.</t>
  </si>
  <si>
    <t>lock_range_m</t>
  </si>
  <si>
    <t>락온 판정 거리이며 발사체 수명이나 실제 비행 거리와 다릅니다.</t>
  </si>
  <si>
    <t>engine_key</t>
  </si>
  <si>
    <t>현재 웹 코드의 상태 필드와 연결하는 어댑터 키입니다. 다른 엔진 exporter는 이를 무시할 수 있습니다.</t>
  </si>
  <si>
    <t>무기 기본값</t>
  </si>
  <si>
    <t>모든 단위는 열 이름에 명시합니다.</t>
  </si>
  <si>
    <t>display_name_ko</t>
  </si>
  <si>
    <t>owner</t>
  </si>
  <si>
    <t>weapon_type</t>
  </si>
  <si>
    <t>damage</t>
  </si>
  <si>
    <t>fire_interval_sec</t>
  </si>
  <si>
    <t>ready_slots</t>
  </si>
  <si>
    <t>projectile_speed_mps</t>
  </si>
  <si>
    <t>max_speed_mps</t>
  </si>
  <si>
    <t>acceleration_mps2</t>
  </si>
  <si>
    <t>turn_rate_rad_sec</t>
  </si>
  <si>
    <t>lifetime_sec</t>
  </si>
  <si>
    <t>notes</t>
  </si>
  <si>
    <t>무기 ID</t>
  </si>
  <si>
    <t>한국어 표시 이름</t>
  </si>
  <si>
    <t>소유자</t>
  </si>
  <si>
    <t>무기 종류</t>
  </si>
  <si>
    <t>피해량</t>
  </si>
  <si>
    <t>발사 간격 (초)</t>
  </si>
  <si>
    <t>준비 슬롯 (탄창)</t>
  </si>
  <si>
    <t>재장전 시간 (초)</t>
  </si>
  <si>
    <t>조준 사거리 (m)</t>
  </si>
  <si>
    <t>투사체 속력 (m/s)</t>
  </si>
  <si>
    <t>최대 속력 (m/s)</t>
  </si>
  <si>
    <t>가속도 (m/s²)</t>
  </si>
  <si>
    <t>회전 속도 (rad/s)</t>
  </si>
  <si>
    <t>유지 시간 (초)</t>
  </si>
  <si>
    <t>엔진 키</t>
  </si>
  <si>
    <t>비고</t>
  </si>
  <si>
    <t>player_cannon</t>
  </si>
  <si>
    <t>20mm 기관포</t>
  </si>
  <si>
    <t>player</t>
  </si>
  <si>
    <t>cannon</t>
  </si>
  <si>
    <t>HUD 조준 보조 거리</t>
  </si>
  <si>
    <t>standard_missile</t>
  </si>
  <si>
    <t>표준 미사일</t>
  </si>
  <si>
    <t>missile</t>
  </si>
  <si>
    <t>std</t>
  </si>
  <si>
    <t>1발씩 발사, 탄창 소진 후 전체 재장전</t>
  </si>
  <si>
    <t>multi_missile</t>
  </si>
  <si>
    <t>멀티 미사일</t>
  </si>
  <si>
    <t>multi</t>
  </si>
  <si>
    <t>enemy_cannon</t>
  </si>
  <si>
    <t>적 기관포</t>
  </si>
  <si>
    <t>enemy</t>
  </si>
  <si>
    <t>enemyCannon</t>
  </si>
  <si>
    <t>enemy_missile</t>
  </si>
  <si>
    <t>적 미사일</t>
  </si>
  <si>
    <t>enemyMissile</t>
  </si>
  <si>
    <t>일반 적</t>
  </si>
  <si>
    <t>boss_missile</t>
  </si>
  <si>
    <t>보스 미사일</t>
  </si>
  <si>
    <t>bossMissile</t>
  </si>
  <si>
    <t>anti_air</t>
  </si>
  <si>
    <t>대공포</t>
  </si>
  <si>
    <t>antiAir</t>
  </si>
  <si>
    <t>탱크·함포</t>
  </si>
  <si>
    <t>플레이어 무기 비교</t>
  </si>
  <si>
    <t>탄창 전체 피해와 발사 간격·전체 재장전을 포함한 지속 화력입니다. 멀티는 최대 4표적 기준입니다.</t>
  </si>
  <si>
    <t>opening_damage</t>
  </si>
  <si>
    <t>sustained_damage_per_sec</t>
  </si>
  <si>
    <r>
      <rPr>
        <sz val="10"/>
        <color rgb="FF222222"/>
        <rFont val="돋움"/>
        <family val="3"/>
        <charset val="129"/>
      </rPr>
      <t>기본</t>
    </r>
    <r>
      <rPr>
        <sz val="10"/>
        <color rgb="FF222222"/>
        <rFont val="Arial"/>
        <family val="2"/>
      </rPr>
      <t xml:space="preserve"> 4</t>
    </r>
    <r>
      <rPr>
        <sz val="10"/>
        <color rgb="FF222222"/>
        <rFont val="돋움"/>
        <family val="3"/>
        <charset val="129"/>
      </rPr>
      <t>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돋움"/>
        <family val="3"/>
        <charset val="129"/>
      </rPr>
      <t>멀티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관제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확장으로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최대</t>
    </r>
    <r>
      <rPr>
        <sz val="10"/>
        <color rgb="FF222222"/>
        <rFont val="Arial"/>
        <family val="2"/>
      </rPr>
      <t xml:space="preserve"> 8</t>
    </r>
    <r>
      <rPr>
        <sz val="10"/>
        <color rgb="FF222222"/>
        <rFont val="돋움"/>
        <family val="3"/>
        <charset val="129"/>
      </rPr>
      <t>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동시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발사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돋움"/>
        <family val="3"/>
        <charset val="129"/>
      </rPr>
      <t>탄창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소진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전체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재장전</t>
    </r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</si>
</sst>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name val="Carlito"/>
    </font>
    <font>
      <b/>
      <sz val="16"/>
      <color rgb="FF222222"/>
      <name val="Arial"/>
      <family val="2"/>
    </font>
    <font>
      <i/>
      <sz val="10"/>
      <color rgb="FF666666"/>
      <name val="Arial"/>
      <family val="2"/>
    </font>
    <font>
      <b/>
      <sz val="10"/>
      <color rgb="FFFFFFFF"/>
      <name val="Arial"/>
      <family val="2"/>
    </font>
    <font>
      <sz val="10"/>
      <color rgb="FF222222"/>
      <name val="Arial"/>
      <family val="2"/>
    </font>
    <font>
      <sz val="11"/>
      <name val="Carlito"/>
    </font>
    <font>
      <sz val="8"/>
      <name val="돋움"/>
      <family val="3"/>
      <charset val="129"/>
    </font>
    <font>
      <i/>
      <sz val="11"/>
      <color rgb="FF555555"/>
      <name val="Carlito"/>
    </font>
    <font>
      <sz val="10"/>
      <color rgb="FF222222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23395B"/>
      </patternFill>
    </fill>
    <fill>
      <patternFill patternType="solid">
        <fgColor rgb="FFFFF2CC"/>
      </patternFill>
    </fill>
    <fill>
      <patternFill patternType="solid">
        <fgColor rgb="FFEEEEEE"/>
        <bgColor rgb="FFEEEEEE"/>
      </patternFill>
    </fill>
  </fills>
  <borders count="4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</borders>
  <cellStyleXfs count="2">
    <xf numFmtId="0" fontId="0" fillId="0" borderId="0"/>
    <xf numFmtId="0" fontId="5" fillId="0" borderId="0"/>
  </cellStyleXfs>
  <cellXfs count="12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1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4" fillId="0" borderId="0" xfId="1" applyFont="1" applyAlignment="1">
      <alignment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4" fillId="3" borderId="0" xfId="1" applyFont="1" applyFill="1" applyAlignment="1">
      <alignment vertical="center" wrapText="1"/>
    </xf>
    <xf numFmtId="2" fontId="4" fillId="3" borderId="0" xfId="1" applyNumberFormat="1" applyFont="1" applyFill="1" applyAlignment="1">
      <alignment vertical="center" wrapText="1"/>
    </xf>
    <xf numFmtId="2" fontId="4" fillId="0" borderId="0" xfId="1" applyNumberFormat="1" applyFont="1" applyAlignment="1">
      <alignment vertical="center" wrapText="1"/>
    </xf>
    <xf numFmtId="0" fontId="7" fillId="4" borderId="0" xfId="0" applyFont="1" applyFill="1"/>
    <xf numFmtId="0" fontId="4" fillId="3" borderId="0" xfId="1" applyFont="1" applyFill="1" applyAlignment="1">
      <alignment horizontal="righ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GuideTable" displayName="GuideTable" ref="A4:B9" totalsRowShown="0">
  <tableColumns count="2">
    <tableColumn id="1" name="item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eaponsTable" displayName="WeaponsTable" ref="A4:P11" totalsRowShown="0">
  <tableColumns count="16">
    <tableColumn id="1" name="weapon_id"/>
    <tableColumn id="2" name="display_name_ko"/>
    <tableColumn id="3" name="owner"/>
    <tableColumn id="4" name="weapon_type"/>
    <tableColumn id="5" name="damage"/>
    <tableColumn id="6" name="fire_interval_sec"/>
    <tableColumn id="7" name="ready_slots"/>
    <tableColumn id="8" name="reload_sec"/>
    <tableColumn id="9" name="lock_range_m"/>
    <tableColumn id="10" name="projectile_speed_mps"/>
    <tableColumn id="11" name="max_speed_mps"/>
    <tableColumn id="12" name="acceleration_mps2"/>
    <tableColumn id="13" name="turn_rate_rad_sec"/>
    <tableColumn id="14" name="lifetime_sec"/>
    <tableColumn id="15" name="engine_key"/>
    <tableColumn id="16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mparisonTable" displayName="ComparisonTable" ref="A4:F6" totalsRowShown="0">
  <tableColumns count="6">
    <tableColumn id="1" name="weapon_id"/>
    <tableColumn id="2" name="damage"/>
    <tableColumn id="3" name="ready_slots"/>
    <tableColumn id="4" name="reload_sec"/>
    <tableColumn id="5" name="opening_damage"/>
    <tableColumn id="6" name="sustained_damage_per_s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2.5" customWidth="1"/>
    <col min="2" max="2" width="77.5" customWidth="1"/>
  </cols>
  <sheetData>
    <row r="1" spans="1:2" ht="19.149999999999999" customHeight="1">
      <c r="A1" s="1" t="s">
        <v>0</v>
      </c>
    </row>
    <row r="2" spans="1:2" ht="15" customHeight="1">
      <c r="A2" s="2" t="s">
        <v>1</v>
      </c>
    </row>
    <row r="4" spans="1:2" ht="15" customHeight="1">
      <c r="A4" s="3" t="s">
        <v>2</v>
      </c>
      <c r="B4" s="4" t="s">
        <v>3</v>
      </c>
    </row>
    <row r="5" spans="1:2" ht="15" customHeight="1">
      <c r="A5" s="5" t="s">
        <v>4</v>
      </c>
      <c r="B5" s="5" t="s">
        <v>5</v>
      </c>
    </row>
    <row r="6" spans="1:2" ht="15" customHeight="1">
      <c r="A6" s="5" t="s">
        <v>6</v>
      </c>
      <c r="B6" s="5" t="s">
        <v>7</v>
      </c>
    </row>
    <row r="7" spans="1:2" ht="15" customHeight="1">
      <c r="A7" s="5" t="s">
        <v>8</v>
      </c>
      <c r="B7" s="5" t="s">
        <v>9</v>
      </c>
    </row>
    <row r="8" spans="1:2" ht="15" customHeight="1">
      <c r="A8" s="5" t="s">
        <v>10</v>
      </c>
      <c r="B8" s="5" t="s">
        <v>11</v>
      </c>
    </row>
    <row r="9" spans="1:2" ht="15" customHeight="1">
      <c r="A9" s="5" t="s">
        <v>12</v>
      </c>
      <c r="B9" s="5" t="s">
        <v>13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"/>
  <sheetViews>
    <sheetView showGridLines="0" tabSelected="1" workbookViewId="0">
      <pane ySplit="4" topLeftCell="A5" activePane="bottomLeft" state="frozen"/>
      <selection pane="bottomLeft" activeCell="I24" sqref="I24"/>
    </sheetView>
  </sheetViews>
  <sheetFormatPr defaultRowHeight="14.25"/>
  <cols>
    <col min="1" max="2" width="17.5" customWidth="1"/>
    <col min="3" max="3" width="11.25" customWidth="1"/>
    <col min="4" max="4" width="12.5" customWidth="1"/>
    <col min="5" max="5" width="10" customWidth="1"/>
    <col min="6" max="6" width="15" customWidth="1"/>
    <col min="7" max="7" width="11.25" customWidth="1"/>
    <col min="8" max="8" width="12.5" customWidth="1"/>
    <col min="9" max="9" width="13.75" customWidth="1"/>
    <col min="10" max="10" width="17.5" customWidth="1"/>
    <col min="11" max="11" width="16.25" customWidth="1"/>
    <col min="12" max="13" width="17.5" customWidth="1"/>
    <col min="14" max="14" width="12.5" customWidth="1"/>
    <col min="15" max="15" width="15" customWidth="1"/>
    <col min="16" max="16" width="27.5" customWidth="1"/>
  </cols>
  <sheetData>
    <row r="1" spans="1:16" ht="19.149999999999999" customHeight="1">
      <c r="A1" s="1" t="s">
        <v>14</v>
      </c>
    </row>
    <row r="2" spans="1:16" ht="15" customHeight="1">
      <c r="A2" s="2" t="s">
        <v>15</v>
      </c>
    </row>
    <row r="4" spans="1:16" ht="15" customHeight="1">
      <c r="A4" s="3" t="s">
        <v>6</v>
      </c>
      <c r="B4" s="6" t="s">
        <v>16</v>
      </c>
      <c r="C4" s="6" t="s">
        <v>17</v>
      </c>
      <c r="D4" s="6" t="s">
        <v>18</v>
      </c>
      <c r="E4" s="6" t="s">
        <v>19</v>
      </c>
      <c r="F4" s="6" t="s">
        <v>20</v>
      </c>
      <c r="G4" s="6" t="s">
        <v>21</v>
      </c>
      <c r="H4" s="6" t="s">
        <v>8</v>
      </c>
      <c r="I4" s="6" t="s">
        <v>10</v>
      </c>
      <c r="J4" s="6" t="s">
        <v>22</v>
      </c>
      <c r="K4" s="6" t="s">
        <v>23</v>
      </c>
      <c r="L4" s="6" t="s">
        <v>24</v>
      </c>
      <c r="M4" s="6" t="s">
        <v>25</v>
      </c>
      <c r="N4" s="6" t="s">
        <v>26</v>
      </c>
      <c r="O4" s="6" t="s">
        <v>12</v>
      </c>
      <c r="P4" s="4" t="s">
        <v>27</v>
      </c>
    </row>
    <row r="5" spans="1:16" ht="15" customHeight="1">
      <c r="A5" s="10" t="s">
        <v>28</v>
      </c>
      <c r="B5" s="10" t="s">
        <v>29</v>
      </c>
      <c r="C5" s="10" t="s">
        <v>30</v>
      </c>
      <c r="D5" s="10" t="s">
        <v>31</v>
      </c>
      <c r="E5" s="10" t="s">
        <v>32</v>
      </c>
      <c r="F5" s="10" t="s">
        <v>33</v>
      </c>
      <c r="G5" s="10" t="s">
        <v>34</v>
      </c>
      <c r="H5" s="10" t="s">
        <v>35</v>
      </c>
      <c r="I5" s="10" t="s">
        <v>36</v>
      </c>
      <c r="J5" s="10" t="s">
        <v>37</v>
      </c>
      <c r="K5" s="10" t="s">
        <v>38</v>
      </c>
      <c r="L5" s="10" t="s">
        <v>39</v>
      </c>
      <c r="M5" s="10" t="s">
        <v>40</v>
      </c>
      <c r="N5" s="10" t="s">
        <v>41</v>
      </c>
      <c r="O5" s="10" t="s">
        <v>42</v>
      </c>
      <c r="P5" s="10" t="s">
        <v>43</v>
      </c>
    </row>
    <row r="6" spans="1:16" ht="15" customHeight="1">
      <c r="A6" s="7" t="s">
        <v>44</v>
      </c>
      <c r="B6" s="7" t="s">
        <v>45</v>
      </c>
      <c r="C6" s="7" t="s">
        <v>46</v>
      </c>
      <c r="D6" s="7" t="s">
        <v>47</v>
      </c>
      <c r="E6" s="8">
        <v>18</v>
      </c>
      <c r="F6" s="8">
        <v>0.05</v>
      </c>
      <c r="G6" s="8"/>
      <c r="H6" s="8"/>
      <c r="I6" s="8">
        <v>1000</v>
      </c>
      <c r="J6" s="8">
        <v>1600</v>
      </c>
      <c r="K6" s="8"/>
      <c r="L6" s="8"/>
      <c r="M6" s="8"/>
      <c r="N6" s="8">
        <v>1.4</v>
      </c>
      <c r="O6" s="11" t="s">
        <v>47</v>
      </c>
      <c r="P6" s="7" t="s">
        <v>48</v>
      </c>
    </row>
    <row r="7" spans="1:16" ht="32.25" customHeight="1">
      <c r="A7" s="7" t="s">
        <v>49</v>
      </c>
      <c r="B7" s="7" t="s">
        <v>50</v>
      </c>
      <c r="C7" s="7" t="s">
        <v>46</v>
      </c>
      <c r="D7" s="7" t="s">
        <v>51</v>
      </c>
      <c r="E7" s="8">
        <v>55</v>
      </c>
      <c r="F7" s="8">
        <v>0.3</v>
      </c>
      <c r="G7" s="8">
        <v>20</v>
      </c>
      <c r="H7" s="8">
        <v>15</v>
      </c>
      <c r="I7" s="8">
        <v>2000</v>
      </c>
      <c r="J7" s="8">
        <v>350</v>
      </c>
      <c r="K7" s="8">
        <v>1000</v>
      </c>
      <c r="L7" s="8">
        <v>450</v>
      </c>
      <c r="M7" s="8">
        <v>3.2</v>
      </c>
      <c r="N7" s="8">
        <v>6</v>
      </c>
      <c r="O7" s="11" t="s">
        <v>52</v>
      </c>
      <c r="P7" s="7" t="s">
        <v>53</v>
      </c>
    </row>
    <row r="8" spans="1:16" ht="39" customHeight="1">
      <c r="A8" s="7" t="s">
        <v>54</v>
      </c>
      <c r="B8" s="7" t="s">
        <v>55</v>
      </c>
      <c r="C8" s="7" t="s">
        <v>46</v>
      </c>
      <c r="D8" s="7" t="s">
        <v>51</v>
      </c>
      <c r="E8" s="8">
        <v>85</v>
      </c>
      <c r="F8" s="8">
        <v>0.5</v>
      </c>
      <c r="G8" s="8">
        <v>8</v>
      </c>
      <c r="H8" s="8">
        <v>30</v>
      </c>
      <c r="I8" s="8">
        <v>3000</v>
      </c>
      <c r="J8" s="8">
        <v>450</v>
      </c>
      <c r="K8" s="8">
        <v>1400</v>
      </c>
      <c r="L8" s="8">
        <v>650</v>
      </c>
      <c r="M8" s="8">
        <v>4.5</v>
      </c>
      <c r="N8" s="8">
        <v>6</v>
      </c>
      <c r="O8" s="11" t="s">
        <v>56</v>
      </c>
      <c r="P8" s="7" t="s">
        <v>76</v>
      </c>
    </row>
    <row r="9" spans="1:16" ht="15" customHeight="1">
      <c r="A9" s="7" t="s">
        <v>57</v>
      </c>
      <c r="B9" s="7" t="s">
        <v>58</v>
      </c>
      <c r="C9" s="7" t="s">
        <v>59</v>
      </c>
      <c r="D9" s="7" t="s">
        <v>47</v>
      </c>
      <c r="E9" s="8">
        <v>4</v>
      </c>
      <c r="F9" s="8"/>
      <c r="G9" s="8"/>
      <c r="H9" s="8"/>
      <c r="I9" s="8"/>
      <c r="J9" s="8">
        <v>1600</v>
      </c>
      <c r="K9" s="8"/>
      <c r="L9" s="8"/>
      <c r="M9" s="8"/>
      <c r="N9" s="8">
        <v>1.4</v>
      </c>
      <c r="O9" s="11" t="s">
        <v>60</v>
      </c>
      <c r="P9" s="7"/>
    </row>
    <row r="10" spans="1:16" ht="15" customHeight="1">
      <c r="A10" s="7" t="s">
        <v>61</v>
      </c>
      <c r="B10" s="7" t="s">
        <v>62</v>
      </c>
      <c r="C10" s="7" t="s">
        <v>59</v>
      </c>
      <c r="D10" s="7" t="s">
        <v>51</v>
      </c>
      <c r="E10" s="8">
        <v>14</v>
      </c>
      <c r="F10" s="8"/>
      <c r="G10" s="8"/>
      <c r="H10" s="8"/>
      <c r="I10" s="8"/>
      <c r="J10" s="8">
        <v>350</v>
      </c>
      <c r="K10" s="8">
        <v>700</v>
      </c>
      <c r="L10" s="8">
        <v>220</v>
      </c>
      <c r="M10" s="8">
        <v>0.65</v>
      </c>
      <c r="N10" s="8">
        <v>6</v>
      </c>
      <c r="O10" s="11" t="s">
        <v>63</v>
      </c>
      <c r="P10" s="7" t="s">
        <v>64</v>
      </c>
    </row>
    <row r="11" spans="1:16" ht="15" customHeight="1">
      <c r="A11" s="7" t="s">
        <v>65</v>
      </c>
      <c r="B11" s="7" t="s">
        <v>66</v>
      </c>
      <c r="C11" s="7" t="s">
        <v>59</v>
      </c>
      <c r="D11" s="7" t="s">
        <v>51</v>
      </c>
      <c r="E11" s="8">
        <v>20</v>
      </c>
      <c r="F11" s="8"/>
      <c r="G11" s="8"/>
      <c r="H11" s="8"/>
      <c r="I11" s="8"/>
      <c r="J11" s="8">
        <v>400</v>
      </c>
      <c r="K11" s="8">
        <v>850</v>
      </c>
      <c r="L11" s="8">
        <v>300</v>
      </c>
      <c r="M11" s="8">
        <v>0.9</v>
      </c>
      <c r="N11" s="8">
        <v>6</v>
      </c>
      <c r="O11" s="11" t="s">
        <v>67</v>
      </c>
      <c r="P11" s="7"/>
    </row>
    <row r="12" spans="1:16">
      <c r="A12" s="7" t="s">
        <v>68</v>
      </c>
      <c r="B12" s="7" t="s">
        <v>69</v>
      </c>
      <c r="C12" s="7" t="s">
        <v>59</v>
      </c>
      <c r="D12" s="7" t="s">
        <v>47</v>
      </c>
      <c r="E12" s="8">
        <v>4</v>
      </c>
      <c r="F12" s="8"/>
      <c r="G12" s="8"/>
      <c r="H12" s="8"/>
      <c r="I12" s="8"/>
      <c r="J12" s="8">
        <v>1100</v>
      </c>
      <c r="K12" s="8"/>
      <c r="L12" s="8"/>
      <c r="M12" s="8"/>
      <c r="N12" s="8">
        <v>2.8</v>
      </c>
      <c r="O12" s="11" t="s">
        <v>70</v>
      </c>
      <c r="P12" s="7" t="s">
        <v>71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0" customWidth="1"/>
    <col min="2" max="3" width="12.5" customWidth="1"/>
    <col min="4" max="4" width="13.75" customWidth="1"/>
    <col min="5" max="5" width="17.5" customWidth="1"/>
    <col min="6" max="6" width="23.75" customWidth="1"/>
  </cols>
  <sheetData>
    <row r="1" spans="1:6" ht="19.149999999999999" customHeight="1">
      <c r="A1" s="1" t="s">
        <v>72</v>
      </c>
    </row>
    <row r="2" spans="1:6" ht="15" customHeight="1">
      <c r="A2" s="2" t="s">
        <v>73</v>
      </c>
    </row>
    <row r="4" spans="1:6" ht="15" customHeight="1">
      <c r="A4" s="3" t="s">
        <v>6</v>
      </c>
      <c r="B4" s="6" t="s">
        <v>19</v>
      </c>
      <c r="C4" s="6" t="s">
        <v>21</v>
      </c>
      <c r="D4" s="6" t="s">
        <v>8</v>
      </c>
      <c r="E4" s="6" t="s">
        <v>74</v>
      </c>
      <c r="F4" s="4" t="s">
        <v>75</v>
      </c>
    </row>
    <row r="5" spans="1:6" ht="15" customHeight="1">
      <c r="A5" s="5" t="s">
        <v>49</v>
      </c>
      <c r="B5" s="9">
        <f>Weapons!E6</f>
        <v>18</v>
      </c>
      <c r="C5" s="9">
        <f>Weapons!G6</f>
        <v>0</v>
      </c>
      <c r="D5" s="9">
        <f>Weapons!H6</f>
        <v>0</v>
      </c>
      <c r="E5" s="9">
        <f>B5*C5</f>
        <v>0</v>
      </c>
      <c r="F5" s="9">
        <f>B5*C5/(D5+(C5-1)*Weapons!F6)</f>
        <v>0</v>
      </c>
    </row>
    <row r="6" spans="1:6" ht="15" customHeight="1">
      <c r="A6" s="5" t="s">
        <v>54</v>
      </c>
      <c r="B6" s="9">
        <f>Weapons!E7</f>
        <v>55</v>
      </c>
      <c r="C6" s="9">
        <f>Weapons!G7</f>
        <v>20</v>
      </c>
      <c r="D6" s="9">
        <f>Weapons!H7</f>
        <v>15</v>
      </c>
      <c r="E6" s="9">
        <f>B6*C6</f>
        <v>1100</v>
      </c>
      <c r="F6" s="9">
        <f>B6*C6/(D6+(ROUNDUP(C6/4,0)-1)*Weapons!F7)</f>
        <v>67.901234567901241</v>
      </c>
    </row>
  </sheetData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Guide</vt:lpstr>
      <vt:lpstr>Weapons</vt:lpstr>
      <vt:lpstr>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rasiail</cp:lastModifiedBy>
  <dcterms:created xsi:type="dcterms:W3CDTF">2026-09-21T01:56:31Z</dcterms:created>
  <dcterms:modified xsi:type="dcterms:W3CDTF">2026-09-21T02:11:06Z</dcterms:modified>
</cp:coreProperties>
</file>
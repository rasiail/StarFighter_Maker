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84b112684d43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37a6a52268494b6d"/>
    <x:sheet xmlns:r="http://schemas.openxmlformats.org/officeDocument/2006/relationships" name="Weapons" sheetId="2" r:id="Reb73df5ca91341eb"/>
    <x:sheet xmlns:r="http://schemas.openxmlformats.org/officeDocument/2006/relationships" name="Comparison" sheetId="3" r:id="Rf96e5bbb867c4dc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5">
    <x:font>
      <x:sz val="11"/>
      <x:name val="Carlito"/>
    </x:font>
    <x:font>
      <x:b/>
      <x:sz val="16"/>
      <x:color rgb="FF222222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3395B"/>
      </x:patternFill>
    </x:fill>
    <x:fill>
      <x:patternFill patternType="solid">
        <x:fgColor rgb="FFFFF2CC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</x:border>
    <x:border>
      <x:left style="thin">
        <x:color rgb="FFFFFFFF"/>
      </x:left>
      <x:right style="thin">
        <x:color rgb="FFFFFFFF"/>
      </x:right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/>
    <x:xf numFmtId="0" fontId="3" fillId="2" borderId="3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a02393be0940ca" /><Relationship Type="http://schemas.openxmlformats.org/officeDocument/2006/relationships/theme" Target="/xl/theme/theme1.xml" Id="Rf8eef4966eb143cb" /><Relationship Type="http://schemas.openxmlformats.org/officeDocument/2006/relationships/sharedStrings" Target="/xl/sharedStrings.xml" Id="R0e019513157d4086" /><Relationship Type="http://schemas.openxmlformats.org/officeDocument/2006/relationships/worksheet" Target="/xl/worksheets/sheet1.xml" Id="R37a6a52268494b6d" /><Relationship Type="http://schemas.openxmlformats.org/officeDocument/2006/relationships/worksheet" Target="/xl/worksheets/sheet2.xml" Id="Reb73df5ca91341eb" /><Relationship Type="http://schemas.openxmlformats.org/officeDocument/2006/relationships/worksheet" Target="/xl/worksheets/sheet3.xml" Id="Rf96e5bbb867c4dcd" /></Relationships>
</file>

<file path=xl/tables/table1.xml><?xml version="1.0" encoding="utf-8"?>
<x:table xmlns:x="http://schemas.openxmlformats.org/spreadsheetml/2006/main" id="1" name="GuideTable" displayName="GuideTable" ref="A4:B9" headerRowCount="1" totalsRowCount="0" totalsRowShown="0">
  <x:tableColumns count="2">
    <x:tableColumn id="1" name="item"/>
    <x:tableColumn id="2" name="descri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aponsTable" displayName="WeaponsTable" ref="A4:P11" headerRowCount="1" totalsRowCount="0" totalsRowShown="0">
  <x:tableColumns count="16">
    <x:tableColumn id="1" name="weapon_id"/>
    <x:tableColumn id="2" name="display_name_ko"/>
    <x:tableColumn id="3" name="owner"/>
    <x:tableColumn id="4" name="weapon_type"/>
    <x:tableColumn id="5" name="damage"/>
    <x:tableColumn id="6" name="fire_interval_sec"/>
    <x:tableColumn id="7" name="ready_slots"/>
    <x:tableColumn id="8" name="reload_sec"/>
    <x:tableColumn id="9" name="lock_range_m"/>
    <x:tableColumn id="10" name="projectile_speed_mps"/>
    <x:tableColumn id="11" name="max_speed_mps"/>
    <x:tableColumn id="12" name="acceleration_mps2"/>
    <x:tableColumn id="13" name="turn_rate_rad_sec"/>
    <x:tableColumn id="14" name="lifetime_sec"/>
    <x:tableColumn id="15" name="engine_key"/>
    <x:tableColumn id="16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arisonTable" displayName="ComparisonTable" ref="A4:F6" headerRowCount="1" totalsRowCount="0" totalsRowShown="0">
  <x:tableColumns count="6">
    <x:tableColumn id="1" name="weapon_id"/>
    <x:tableColumn id="2" name="damage"/>
    <x:tableColumn id="3" name="ready_slots"/>
    <x:tableColumn id="4" name="reload_sec"/>
    <x:tableColumn id="5" name="opening_damage"/>
    <x:tableColumn id="6" name="sustained_damage_per_se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5c2a1129585444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62ef379d7bc42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9ae293ac0464f3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.5" hidden="0" customWidth="1"/>
    <x:col min="2" max="2" width="77.5" hidden="0" customWidth="1"/>
  </x:cols>
  <x:sheetData>
    <x:row r="1" ht="19.200000762939453" hidden="0" customHeight="1">
      <x:c r="A1" s="1" t="str">
        <x:v>무기 데이터</x:v>
      </x:c>
    </x:row>
    <x:row r="2" ht="15" hidden="0" customHeight="1">
      <x:c r="A2" s="2" t="str">
        <x:v>노란색 셀은 수정 가능한 원본 데이터입니다. ID 열은 코드 참조이므로 변경할 때 관련 참조도 함께 수정합니다.</x:v>
      </x:c>
    </x:row>
    <x:row r="3"/>
    <x:row r="4" ht="15" hidden="0" customHeight="1">
      <x:c r="A4" s="11" t="str">
        <x:v>item</x:v>
      </x:c>
      <x:c r="B4" s="12" t="str">
        <x:v>description</x:v>
      </x:c>
    </x:row>
    <x:row r="5" ht="15" hidden="0" customHeight="1">
      <x:c r="A5" s="15" t="str">
        <x:v>Weapons</x:v>
      </x:c>
      <x:c r="B5" s="15" t="str">
        <x:v>플레이어와 적 무기의 기본 전투 수치를 관리합니다. 빈 셀은 해당 무기에 적용되지 않는 항목입니다.</x:v>
      </x:c>
    </x:row>
    <x:row r="6" ht="15" hidden="0" customHeight="1">
      <x:c r="A6" s="15" t="str">
        <x:v>weapon_id</x:v>
      </x:c>
      <x:c r="B6" s="15" t="str">
        <x:v>엔진 공통 영문 식별자입니다.</x:v>
      </x:c>
    </x:row>
    <x:row r="7" ht="15" hidden="0" customHeight="1">
      <x:c r="A7" s="15" t="str">
        <x:v>reload_sec</x:v>
      </x:c>
      <x:c r="B7" s="15" t="str">
        <x:v>탄창 소진 후 전체 재장전 시간입니다. ready_slots는 탄창 용량입니다.</x:v>
      </x:c>
    </x:row>
    <x:row r="8" ht="15" hidden="0" customHeight="1">
      <x:c r="A8" s="15" t="str">
        <x:v>lock_range_m</x:v>
      </x:c>
      <x:c r="B8" s="15" t="str">
        <x:v>락온 판정 거리이며 발사체 수명이나 실제 비행 거리와 다릅니다.</x:v>
      </x:c>
    </x:row>
    <x:row r="9" ht="15" hidden="0" customHeight="1">
      <x:c r="A9" s="15" t="str">
        <x:v>engine_key</x:v>
      </x:c>
      <x:c r="B9" s="15" t="str">
        <x:v>현재 웹 코드의 상태 필드와 연결하는 어댑터 키입니다. 다른 엔진 exporter는 이를 무시할 수 있습니다.</x:v>
      </x:c>
    </x:row>
  </x:sheetData>
  <x:pageMargins left="0.7" right="0.7" top="0.75" bottom="0.75" header="0.3" footer="0.3"/>
  <x:tableParts count="1">
    <x:tablePart xmlns:r="http://schemas.openxmlformats.org/officeDocument/2006/relationships" r:id="Rf5c2a1129585444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.5" hidden="0" customWidth="1"/>
    <x:col min="2" max="2" width="17.5" hidden="0" customWidth="1"/>
    <x:col min="3" max="3" width="11.25" hidden="0" customWidth="1"/>
    <x:col min="4" max="4" width="12.5" hidden="0" customWidth="1"/>
    <x:col min="5" max="5" width="10" hidden="0" customWidth="1"/>
    <x:col min="6" max="6" width="15" hidden="0" customWidth="1"/>
    <x:col min="7" max="7" width="11.25" hidden="0" customWidth="1"/>
    <x:col min="8" max="8" width="12.5" hidden="0" customWidth="1"/>
    <x:col min="9" max="9" width="13.75" hidden="0" customWidth="1"/>
    <x:col min="10" max="10" width="17.5" hidden="0" customWidth="1"/>
    <x:col min="11" max="11" width="16.25" hidden="0" customWidth="1"/>
    <x:col min="12" max="12" width="17.5" hidden="0" customWidth="1"/>
    <x:col min="13" max="13" width="17.5" hidden="0" customWidth="1"/>
    <x:col min="14" max="14" width="12.5" hidden="0" customWidth="1"/>
    <x:col min="15" max="15" width="15" hidden="0" customWidth="1"/>
    <x:col min="16" max="16" width="27.5" hidden="0" customWidth="1"/>
  </x:cols>
  <x:sheetData>
    <x:row r="1" ht="19.200000762939453" hidden="0" customHeight="1">
      <x:c r="A1" s="1" t="str">
        <x:v>무기 기본값</x:v>
      </x:c>
    </x:row>
    <x:row r="2" ht="15" hidden="0" customHeight="1">
      <x:c r="A2" s="2" t="str">
        <x:v>모든 단위는 열 이름에 명시합니다.</x:v>
      </x:c>
    </x:row>
    <x:row r="3"/>
    <x:row r="4" ht="15" hidden="0" customHeight="1">
      <x:c r="A4" s="11" t="str">
        <x:v>weapon_id</x:v>
      </x:c>
      <x:c r="B4" s="19" t="str">
        <x:v>display_name_ko</x:v>
      </x:c>
      <x:c r="C4" s="19" t="str">
        <x:v>owner</x:v>
      </x:c>
      <x:c r="D4" s="19" t="str">
        <x:v>weapon_type</x:v>
      </x:c>
      <x:c r="E4" s="19" t="str">
        <x:v>damage</x:v>
      </x:c>
      <x:c r="F4" s="19" t="str">
        <x:v>fire_interval_sec</x:v>
      </x:c>
      <x:c r="G4" s="19" t="str">
        <x:v>ready_slots</x:v>
      </x:c>
      <x:c r="H4" s="19" t="str">
        <x:v>reload_sec</x:v>
      </x:c>
      <x:c r="I4" s="19" t="str">
        <x:v>lock_range_m</x:v>
      </x:c>
      <x:c r="J4" s="19" t="str">
        <x:v>projectile_speed_mps</x:v>
      </x:c>
      <x:c r="K4" s="19" t="str">
        <x:v>max_speed_mps</x:v>
      </x:c>
      <x:c r="L4" s="19" t="str">
        <x:v>acceleration_mps2</x:v>
      </x:c>
      <x:c r="M4" s="19" t="str">
        <x:v>turn_rate_rad_sec</x:v>
      </x:c>
      <x:c r="N4" s="19" t="str">
        <x:v>lifetime_sec</x:v>
      </x:c>
      <x:c r="O4" s="19" t="str">
        <x:v>engine_key</x:v>
      </x:c>
      <x:c r="P4" s="12" t="str">
        <x:v>notes</x:v>
      </x:c>
    </x:row>
    <x:row r="5" ht="15" hidden="0" customHeight="1">
      <x:c r="A5" s="20" t="str">
        <x:v>player_cannon</x:v>
      </x:c>
      <x:c r="B5" s="20" t="str">
        <x:v>20mm 기관포</x:v>
      </x:c>
      <x:c r="C5" s="20" t="str">
        <x:v>player</x:v>
      </x:c>
      <x:c r="D5" s="20" t="str">
        <x:v>cannon</x:v>
      </x:c>
      <x:c r="E5" s="21" t="n">
        <x:v>18</x:v>
      </x:c>
      <x:c r="F5" s="21" t="n">
        <x:v>0.05</x:v>
      </x:c>
      <x:c r="G5" s="21"/>
      <x:c r="H5" s="21"/>
      <x:c r="I5" s="21" t="n">
        <x:v>1000</x:v>
      </x:c>
      <x:c r="J5" s="21" t="n">
        <x:v>1600</x:v>
      </x:c>
      <x:c r="K5" s="21"/>
      <x:c r="L5" s="21"/>
      <x:c r="M5" s="21"/>
      <x:c r="N5" s="21" t="n">
        <x:v>1.4</x:v>
      </x:c>
      <x:c r="O5" s="20" t="str">
        <x:v>cannon</x:v>
      </x:c>
      <x:c r="P5" s="20" t="str">
        <x:v>HUD 조준 보조 거리</x:v>
      </x:c>
    </x:row>
    <x:row r="6" ht="15" hidden="0" customHeight="1">
      <x:c r="A6" s="20" t="str">
        <x:v>standard_missile</x:v>
      </x:c>
      <x:c r="B6" s="20" t="str">
        <x:v>표준 미사일</x:v>
      </x:c>
      <x:c r="C6" s="20" t="str">
        <x:v>player</x:v>
      </x:c>
      <x:c r="D6" s="20" t="str">
        <x:v>missile</x:v>
      </x:c>
      <x:c r="E6" s="21" t="n">
        <x:v>85</x:v>
      </x:c>
      <x:c r="F6" s="21" t="n">
        <x:v>0.3</x:v>
      </x:c>
      <x:c r="G6" s="21" t="n">
        <x:v>20</x:v>
      </x:c>
      <x:c r="H6" s="21" t="n">
        <x:v>10</x:v>
      </x:c>
      <x:c r="I6" s="21" t="n">
        <x:v>2000</x:v>
      </x:c>
      <x:c r="J6" s="21" t="n">
        <x:v>450</x:v>
      </x:c>
      <x:c r="K6" s="21" t="n">
        <x:v>1400</x:v>
      </x:c>
      <x:c r="L6" s="21" t="n">
        <x:v>650</x:v>
      </x:c>
      <x:c r="M6" s="21" t="n">
        <x:v>3.2</x:v>
      </x:c>
      <x:c r="N6" s="21" t="n">
        <x:v>6</x:v>
      </x:c>
      <x:c r="O6" s="20" t="str">
        <x:v>std</x:v>
      </x:c>
      <x:c r="P6" s="20" t="str">
        <x:v>1발씩 발사, 탄창 소진 후 전체 재장전</x:v>
      </x:c>
    </x:row>
    <x:row r="7" ht="15" hidden="0" customHeight="1">
      <x:c r="A7" s="20" t="str">
        <x:v>multi_missile</x:v>
      </x:c>
      <x:c r="B7" s="20" t="str">
        <x:v>멀티 미사일</x:v>
      </x:c>
      <x:c r="C7" s="20" t="str">
        <x:v>player</x:v>
      </x:c>
      <x:c r="D7" s="20" t="str">
        <x:v>missile</x:v>
      </x:c>
      <x:c r="E7" s="21" t="n">
        <x:v>85</x:v>
      </x:c>
      <x:c r="F7" s="21" t="n">
        <x:v>0.35</x:v>
      </x:c>
      <x:c r="G7" s="21" t="n">
        <x:v>16</x:v>
      </x:c>
      <x:c r="H7" s="21" t="n">
        <x:v>20</x:v>
      </x:c>
      <x:c r="I7" s="21" t="n">
        <x:v>3000</x:v>
      </x:c>
      <x:c r="J7" s="21" t="n">
        <x:v>450</x:v>
      </x:c>
      <x:c r="K7" s="21" t="n">
        <x:v>1400</x:v>
      </x:c>
      <x:c r="L7" s="21" t="n">
        <x:v>650</x:v>
      </x:c>
      <x:c r="M7" s="21" t="n">
        <x:v>3.2</x:v>
      </x:c>
      <x:c r="N7" s="21" t="n">
        <x:v>6</x:v>
      </x:c>
      <x:c r="O7" s="20" t="str">
        <x:v>multi</x:v>
      </x:c>
      <x:c r="P7" s="20" t="str">
        <x:v>기본 4발, 멀티 관제 확장으로 최대 8발 동시 발사. 탄창 소진 후 전체 재장전</x:v>
      </x:c>
    </x:row>
    <x:row r="8" ht="15" hidden="0" customHeight="1">
      <x:c r="A8" s="20" t="str">
        <x:v>enemy_cannon</x:v>
      </x:c>
      <x:c r="B8" s="20" t="str">
        <x:v>적 기관포</x:v>
      </x:c>
      <x:c r="C8" s="20" t="str">
        <x:v>enemy</x:v>
      </x:c>
      <x:c r="D8" s="20" t="str">
        <x:v>cannon</x:v>
      </x:c>
      <x:c r="E8" s="21" t="n">
        <x:v>8</x:v>
      </x:c>
      <x:c r="F8" s="21"/>
      <x:c r="G8" s="21"/>
      <x:c r="H8" s="21"/>
      <x:c r="I8" s="21"/>
      <x:c r="J8" s="21" t="n">
        <x:v>1600</x:v>
      </x:c>
      <x:c r="K8" s="21"/>
      <x:c r="L8" s="21"/>
      <x:c r="M8" s="21"/>
      <x:c r="N8" s="21" t="n">
        <x:v>1.4</x:v>
      </x:c>
      <x:c r="O8" s="20" t="str">
        <x:v>enemyCannon</x:v>
      </x:c>
      <x:c r="P8" s="20" t="str"/>
    </x:row>
    <x:row r="9" ht="15" hidden="0" customHeight="1">
      <x:c r="A9" s="20" t="str">
        <x:v>enemy_missile</x:v>
      </x:c>
      <x:c r="B9" s="20" t="str">
        <x:v>적 미사일</x:v>
      </x:c>
      <x:c r="C9" s="20" t="str">
        <x:v>enemy</x:v>
      </x:c>
      <x:c r="D9" s="20" t="str">
        <x:v>missile</x:v>
      </x:c>
      <x:c r="E9" s="21" t="n">
        <x:v>35</x:v>
      </x:c>
      <x:c r="F9" s="21"/>
      <x:c r="G9" s="21"/>
      <x:c r="H9" s="21"/>
      <x:c r="I9" s="21"/>
      <x:c r="J9" s="21" t="n">
        <x:v>450</x:v>
      </x:c>
      <x:c r="K9" s="21" t="n">
        <x:v>1400</x:v>
      </x:c>
      <x:c r="L9" s="21" t="n">
        <x:v>650</x:v>
      </x:c>
      <x:c r="M9" s="21" t="n">
        <x:v>3.2</x:v>
      </x:c>
      <x:c r="N9" s="21" t="n">
        <x:v>6</x:v>
      </x:c>
      <x:c r="O9" s="20" t="str">
        <x:v>enemyMissile</x:v>
      </x:c>
      <x:c r="P9" s="20" t="str">
        <x:v>일반 적</x:v>
      </x:c>
    </x:row>
    <x:row r="10" ht="15" hidden="0" customHeight="1">
      <x:c r="A10" s="20" t="str">
        <x:v>boss_missile</x:v>
      </x:c>
      <x:c r="B10" s="20" t="str">
        <x:v>보스 미사일</x:v>
      </x:c>
      <x:c r="C10" s="20" t="str">
        <x:v>enemy</x:v>
      </x:c>
      <x:c r="D10" s="20" t="str">
        <x:v>missile</x:v>
      </x:c>
      <x:c r="E10" s="21" t="n">
        <x:v>20</x:v>
      </x:c>
      <x:c r="F10" s="21"/>
      <x:c r="G10" s="21"/>
      <x:c r="H10" s="21"/>
      <x:c r="I10" s="21"/>
      <x:c r="J10" s="21" t="n">
        <x:v>450</x:v>
      </x:c>
      <x:c r="K10" s="21" t="n">
        <x:v>1400</x:v>
      </x:c>
      <x:c r="L10" s="21" t="n">
        <x:v>650</x:v>
      </x:c>
      <x:c r="M10" s="21" t="n">
        <x:v>3.2</x:v>
      </x:c>
      <x:c r="N10" s="21" t="n">
        <x:v>6</x:v>
      </x:c>
      <x:c r="O10" s="20" t="str">
        <x:v>bossMissile</x:v>
      </x:c>
      <x:c r="P10" s="20" t="str"/>
    </x:row>
    <x:row r="11" ht="15" hidden="0" customHeight="1">
      <x:c r="A11" s="20" t="str">
        <x:v>anti_air</x:v>
      </x:c>
      <x:c r="B11" s="20" t="str">
        <x:v>대공포</x:v>
      </x:c>
      <x:c r="C11" s="20" t="str">
        <x:v>enemy</x:v>
      </x:c>
      <x:c r="D11" s="20" t="str">
        <x:v>cannon</x:v>
      </x:c>
      <x:c r="E11" s="21" t="n">
        <x:v>8</x:v>
      </x:c>
      <x:c r="F11" s="21"/>
      <x:c r="G11" s="21"/>
      <x:c r="H11" s="21"/>
      <x:c r="I11" s="21"/>
      <x:c r="J11" s="21" t="n">
        <x:v>1100</x:v>
      </x:c>
      <x:c r="K11" s="21"/>
      <x:c r="L11" s="21"/>
      <x:c r="M11" s="21"/>
      <x:c r="N11" s="21" t="n">
        <x:v>2.8</x:v>
      </x:c>
      <x:c r="O11" s="20" t="str">
        <x:v>antiAir</x:v>
      </x:c>
      <x:c r="P11" s="20" t="str">
        <x:v>탱크·함포</x:v>
      </x:c>
    </x:row>
  </x:sheetData>
  <x:pageMargins left="0.7" right="0.7" top="0.75" bottom="0.75" header="0.3" footer="0.3"/>
  <x:tableParts count="1">
    <x:tablePart xmlns:r="http://schemas.openxmlformats.org/officeDocument/2006/relationships" r:id="R862ef379d7bc420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2.5" hidden="0" customWidth="1"/>
    <x:col min="3" max="3" width="12.5" hidden="0" customWidth="1"/>
    <x:col min="4" max="4" width="13.75" hidden="0" customWidth="1"/>
    <x:col min="5" max="5" width="17.5" hidden="0" customWidth="1"/>
    <x:col min="6" max="6" width="23.75" hidden="0" customWidth="1"/>
  </x:cols>
  <x:sheetData>
    <x:row r="1" ht="19.200000762939453" hidden="0" customHeight="1">
      <x:c r="A1" s="1" t="str">
        <x:v>플레이어 무기 비교</x:v>
      </x:c>
    </x:row>
    <x:row r="2" ht="15" hidden="0" customHeight="1">
      <x:c r="A2" s="2" t="str">
        <x:v>탄창 전체 피해와 발사 간격·전체 재장전을 포함한 지속 화력입니다. 멀티는 최대 4표적 기준입니다.</x:v>
      </x:c>
    </x:row>
    <x:row r="3"/>
    <x:row r="4" ht="15" hidden="0" customHeight="1">
      <x:c r="A4" s="11" t="str">
        <x:v>weapon_id</x:v>
      </x:c>
      <x:c r="B4" s="19" t="str">
        <x:v>damage</x:v>
      </x:c>
      <x:c r="C4" s="19" t="str">
        <x:v>ready_slots</x:v>
      </x:c>
      <x:c r="D4" s="19" t="str">
        <x:v>reload_sec</x:v>
      </x:c>
      <x:c r="E4" s="19" t="str">
        <x:v>opening_damage</x:v>
      </x:c>
      <x:c r="F4" s="12" t="str">
        <x:v>sustained_damage_per_sec</x:v>
      </x:c>
    </x:row>
    <x:row r="5" ht="15" hidden="0" customHeight="1">
      <x:c r="A5" s="15" t="str">
        <x:v>standard_missile</x:v>
      </x:c>
      <x:c r="B5" s="22" t="n">
        <x:f>'Weapons'!E6</x:f>
        <x:v>85</x:v>
      </x:c>
      <x:c r="C5" s="22" t="n">
        <x:f>'Weapons'!G6</x:f>
        <x:v>20</x:v>
      </x:c>
      <x:c r="D5" s="22" t="n">
        <x:f>'Weapons'!H6</x:f>
        <x:v>10</x:v>
      </x:c>
      <x:c r="E5" s="22" t="n">
        <x:f>B5*C5</x:f>
        <x:v>1700</x:v>
      </x:c>
      <x:c r="F5" s="22" t="n">
        <x:f>B5*C5/(D5+(C5-1)*'Weapons'!F6)</x:f>
        <x:v>108.28025477707007</x:v>
      </x:c>
    </x:row>
    <x:row r="6" ht="15" hidden="0" customHeight="1">
      <x:c r="A6" s="15" t="str">
        <x:v>multi_missile</x:v>
      </x:c>
      <x:c r="B6" s="22" t="n">
        <x:f>'Weapons'!E7</x:f>
        <x:v>85</x:v>
      </x:c>
      <x:c r="C6" s="22" t="n">
        <x:f>'Weapons'!G7</x:f>
        <x:v>16</x:v>
      </x:c>
      <x:c r="D6" s="22" t="n">
        <x:f>'Weapons'!H7</x:f>
        <x:v>20</x:v>
      </x:c>
      <x:c r="E6" s="22" t="n">
        <x:f>B6*C6</x:f>
        <x:v>1360</x:v>
      </x:c>
      <x:c r="F6" s="22" t="n">
        <x:f>B6*C6/(D6+(ROUNDUP(C6/4,0)-1)*'Weapons'!F7)</x:f>
        <x:v>64.60807600950119</x:v>
      </x:c>
    </x:row>
  </x:sheetData>
  <x:pageMargins left="0.7" right="0.7" top="0.75" bottom="0.75" header="0.3" footer="0.3"/>
  <x:tableParts count="1">
    <x:tablePart xmlns:r="http://schemas.openxmlformats.org/officeDocument/2006/relationships" r:id="R69ae293ac0464f34"/>
  </x:tableParts>
</x:worksheet>
</file>
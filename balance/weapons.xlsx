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6408366000c446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uide" sheetId="1" r:id="R7c50a2bb37b9426b"/>
    <x:sheet xmlns:r="http://schemas.openxmlformats.org/officeDocument/2006/relationships" name="Weapons" sheetId="2" r:id="Rfe89b8b42c3c4ccb"/>
    <x:sheet xmlns:r="http://schemas.openxmlformats.org/officeDocument/2006/relationships" name="Comparison" sheetId="3" r:id="R79fc3cb3c887412d"/>
  </x:sheets>
</x:workbook>
</file>

<file path=xl/sharedStrings.xml><?xml version="1.0" encoding="utf-8"?>
<x:sst xmlns:x="http://schemas.openxmlformats.org/spreadsheetml/2006/main">
  <x:si>
    <x:t xml:space="preserve">무기 데이터</x:t>
  </x:si>
  <x:si>
    <x:t xml:space="preserve">플레이어와 적의 무기 스탯(피해량, 사거리, 속력 등)을 관리하는 밸런스 데이터입니다. 노란색 셀은 수정 가능한 원본 데이터입니다. ID 열은 코드 참조이므로 변경할 때 관련 참조도 함께 수정합니다.</x:t>
  </x:si>
  <x:si>
    <x:t xml:space="preserve">item</x:t>
  </x:si>
  <x:si>
    <x:t xml:space="preserve">description</x:t>
  </x:si>
  <x:si>
    <x:t xml:space="preserve">Weapons</x:t>
  </x:si>
  <x:si>
    <x:t xml:space="preserve">플레이어와 적 무기의 기본 전투 수치를 관리합니다. 빈 셀은 해당 무기에 적용되지 않는 항목입니다.</x:t>
  </x:si>
  <x:si>
    <x:t xml:space="preserve">weapon_id</x:t>
  </x:si>
  <x:si>
    <x:t xml:space="preserve">엔진 공통 영문 식별자입니다.</x:t>
  </x:si>
  <x:si>
    <x:t xml:space="preserve">reload_sec</x:t>
  </x:si>
  <x:si>
    <x:t xml:space="preserve">탄창 소진 후 전체 재장전 시간입니다. ready_slots는 탄창 용량입니다.</x:t>
  </x:si>
  <x:si>
    <x:t xml:space="preserve">lock_range_m</x:t>
  </x:si>
  <x:si>
    <x:t xml:space="preserve">락온 판정 거리이며 발사체 수명이나 실제 비행 거리와 다릅니다.</x:t>
  </x:si>
  <x:si>
    <x:t xml:space="preserve">engine_key</x:t>
  </x:si>
  <x:si>
    <x:t xml:space="preserve">현재 웹 코드의 상태 필드와 연결하는 어댑터 키입니다. 다른 엔진 exporter는 이를 무시할 수 있습니다.</x:t>
  </x:si>
  <x:si>
    <x:t xml:space="preserve">무기 기본값</x:t>
  </x:si>
  <x:si>
    <x:t xml:space="preserve">모든 단위는 열 이름에 명시합니다.</x:t>
  </x:si>
  <x:si>
    <x:t xml:space="preserve">display_name_ko</x:t>
  </x:si>
  <x:si>
    <x:t xml:space="preserve">owner</x:t>
  </x:si>
  <x:si>
    <x:t xml:space="preserve">weapon_type</x:t>
  </x:si>
  <x:si>
    <x:t xml:space="preserve">damage</x:t>
  </x:si>
  <x:si>
    <x:t xml:space="preserve">fire_interval_sec</x:t>
  </x:si>
  <x:si>
    <x:t xml:space="preserve">ready_slots</x:t>
  </x:si>
  <x:si>
    <x:t xml:space="preserve">projectile_speed_mps</x:t>
  </x:si>
  <x:si>
    <x:t xml:space="preserve">max_speed_mps</x:t>
  </x:si>
  <x:si>
    <x:t xml:space="preserve">acceleration_mps2</x:t>
  </x:si>
  <x:si>
    <x:t xml:space="preserve">turn_rate_rad_sec</x:t>
  </x:si>
  <x:si>
    <x:t xml:space="preserve">lifetime_sec</x:t>
  </x:si>
  <x:si>
    <x:t xml:space="preserve">notes</x:t>
  </x:si>
  <x:si>
    <x:t xml:space="preserve">무기 ID</x:t>
  </x:si>
  <x:si>
    <x:t xml:space="preserve">한국어 표시 이름</x:t>
  </x:si>
  <x:si>
    <x:t xml:space="preserve">소유자</x:t>
  </x:si>
  <x:si>
    <x:t xml:space="preserve">무기 종류</x:t>
  </x:si>
  <x:si>
    <x:t xml:space="preserve">피해량</x:t>
  </x:si>
  <x:si>
    <x:t xml:space="preserve">발사 간격 (초)</x:t>
  </x:si>
  <x:si>
    <x:t xml:space="preserve">준비 슬롯 (탄창)</x:t>
  </x:si>
  <x:si>
    <x:t xml:space="preserve">재장전 시간 (초)</x:t>
  </x:si>
  <x:si>
    <x:t xml:space="preserve">조준 사거리 (m)</x:t>
  </x:si>
  <x:si>
    <x:t xml:space="preserve">투사체 속력 (m/s)</x:t>
  </x:si>
  <x:si>
    <x:t xml:space="preserve">최대 속력 (m/s)</x:t>
  </x:si>
  <x:si>
    <x:t xml:space="preserve">가속도 (m/s²)</x:t>
  </x:si>
  <x:si>
    <x:t xml:space="preserve">회전 속도 (rad/s)</x:t>
  </x:si>
  <x:si>
    <x:t xml:space="preserve">유지 시간 (초)</x:t>
  </x:si>
  <x:si>
    <x:t xml:space="preserve">엔진 키</x:t>
  </x:si>
  <x:si>
    <x:t xml:space="preserve">비고</x:t>
  </x:si>
  <x:si>
    <x:t xml:space="preserve">player_cannon</x:t>
  </x:si>
  <x:si>
    <x:t xml:space="preserve">20mm 기관포</x:t>
  </x:si>
  <x:si>
    <x:t xml:space="preserve">player</x:t>
  </x:si>
  <x:si>
    <x:t xml:space="preserve">cannon</x:t>
  </x:si>
  <x:si>
    <x:t xml:space="preserve">HUD 조준 보조 거리</x:t>
  </x:si>
  <x:si>
    <x:t xml:space="preserve">standard_missile</x:t>
  </x:si>
  <x:si>
    <x:t xml:space="preserve">표준 미사일</x:t>
  </x:si>
  <x:si>
    <x:t xml:space="preserve">missile</x:t>
  </x:si>
  <x:si>
    <x:t xml:space="preserve">std</x:t>
  </x:si>
  <x:si>
    <x:t xml:space="preserve">1발씩 발사, 탄창 소진 후 전체 재장전</x:t>
  </x:si>
  <x:si>
    <x:t xml:space="preserve">multi_missile</x:t>
  </x:si>
  <x:si>
    <x:t xml:space="preserve">멀티 미사일</x:t>
  </x:si>
  <x:si>
    <x:t xml:space="preserve">multi</x:t>
  </x:si>
  <x:si>
    <x:r>
      <x:rPr>
        <x:sz val="10"/>
        <x:color rgb="FF222222"/>
        <x:rFont val="돋움"/>
        <x:family val="3"/>
      </x:rPr>
      <x:t xml:space="preserve">기본</x:t>
    </x:r>
    <x:r>
      <x:rPr>
        <x:sz val="10"/>
        <x:color rgb="FF222222"/>
        <x:rFont val="Arial"/>
        <x:family val="2"/>
      </x:rPr>
      <x:t xml:space="preserve"> 4</x:t>
    </x:r>
    <x:r>
      <x:rPr>
        <x:sz val="10"/>
        <x:color rgb="FF222222"/>
        <x:rFont val="돋움"/>
        <x:family val="3"/>
      </x:rPr>
      <x:t xml:space="preserve">발</x:t>
    </x:r>
    <x:r>
      <x:rPr>
        <x:sz val="10"/>
        <x:color rgb="FF222222"/>
        <x:rFont val="Arial"/>
        <x:family val="2"/>
      </x:rPr>
      <x:t xml:space="preserve">, </x:t>
    </x:r>
    <x:r>
      <x:rPr>
        <x:sz val="10"/>
        <x:color rgb="FF222222"/>
        <x:rFont val="돋움"/>
        <x:family val="3"/>
      </x:rPr>
      <x:t xml:space="preserve">멀티</x:t>
    </x:r>
    <x:r>
      <x:rPr>
        <x:sz val="10"/>
        <x:color rgb="FF222222"/>
        <x:rFont val="Arial"/>
        <x:family val="2"/>
      </x:rPr>
      <x:t xml:space="preserve"> </x:t>
    </x:r>
    <x:r>
      <x:rPr>
        <x:sz val="10"/>
        <x:color rgb="FF222222"/>
        <x:rFont val="돋움"/>
        <x:family val="3"/>
      </x:rPr>
      <x:t xml:space="preserve">관제</x:t>
    </x:r>
    <x:r>
      <x:rPr>
        <x:sz val="10"/>
        <x:color rgb="FF222222"/>
        <x:rFont val="Arial"/>
        <x:family val="2"/>
      </x:rPr>
      <x:t xml:space="preserve"> </x:t>
    </x:r>
    <x:r>
      <x:rPr>
        <x:sz val="10"/>
        <x:color rgb="FF222222"/>
        <x:rFont val="돋움"/>
        <x:family val="3"/>
      </x:rPr>
      <x:t xml:space="preserve">확장으로</x:t>
    </x:r>
    <x:r>
      <x:rPr>
        <x:sz val="10"/>
        <x:color rgb="FF222222"/>
        <x:rFont val="Arial"/>
        <x:family val="2"/>
      </x:rPr>
      <x:t xml:space="preserve"> </x:t>
    </x:r>
    <x:r>
      <x:rPr>
        <x:sz val="10"/>
        <x:color rgb="FF222222"/>
        <x:rFont val="돋움"/>
        <x:family val="3"/>
      </x:rPr>
      <x:t xml:space="preserve">최대</x:t>
    </x:r>
    <x:r>
      <x:rPr>
        <x:sz val="10"/>
        <x:color rgb="FF222222"/>
        <x:rFont val="Arial"/>
        <x:family val="2"/>
      </x:rPr>
      <x:t xml:space="preserve"> 8</x:t>
    </x:r>
    <x:r>
      <x:rPr>
        <x:sz val="10"/>
        <x:color rgb="FF222222"/>
        <x:rFont val="돋움"/>
        <x:family val="3"/>
      </x:rPr>
      <x:t xml:space="preserve">발</x:t>
    </x:r>
    <x:r>
      <x:rPr>
        <x:sz val="10"/>
        <x:color rgb="FF222222"/>
        <x:rFont val="Arial"/>
        <x:family val="2"/>
      </x:rPr>
      <x:t xml:space="preserve"> </x:t>
    </x:r>
    <x:r>
      <x:rPr>
        <x:sz val="10"/>
        <x:color rgb="FF222222"/>
        <x:rFont val="돋움"/>
        <x:family val="3"/>
      </x:rPr>
      <x:t xml:space="preserve">동시</x:t>
    </x:r>
    <x:r>
      <x:rPr>
        <x:sz val="10"/>
        <x:color rgb="FF222222"/>
        <x:rFont val="Arial"/>
        <x:family val="2"/>
      </x:rPr>
      <x:t xml:space="preserve"> </x:t>
    </x:r>
    <x:r>
      <x:rPr>
        <x:sz val="10"/>
        <x:color rgb="FF222222"/>
        <x:rFont val="돋움"/>
        <x:family val="3"/>
      </x:rPr>
      <x:t xml:space="preserve">발사</x:t>
    </x:r>
    <x:r>
      <x:rPr>
        <x:sz val="10"/>
        <x:color rgb="FF222222"/>
        <x:rFont val="Arial"/>
        <x:family val="2"/>
      </x:rPr>
      <x:t xml:space="preserve">. </x:t>
    </x:r>
    <x:r>
      <x:rPr>
        <x:sz val="10"/>
        <x:color rgb="FF222222"/>
        <x:rFont val="돋움"/>
        <x:family val="3"/>
      </x:rPr>
      <x:t xml:space="preserve">탄창</x:t>
    </x:r>
    <x:r>
      <x:rPr>
        <x:sz val="10"/>
        <x:color rgb="FF222222"/>
        <x:rFont val="Arial"/>
        <x:family val="2"/>
      </x:rPr>
      <x:t xml:space="preserve"> </x:t>
    </x:r>
    <x:r>
      <x:rPr>
        <x:sz val="10"/>
        <x:color rgb="FF222222"/>
        <x:rFont val="돋움"/>
        <x:family val="3"/>
      </x:rPr>
      <x:t xml:space="preserve">소진</x:t>
    </x:r>
    <x:r>
      <x:rPr>
        <x:sz val="10"/>
        <x:color rgb="FF222222"/>
        <x:rFont val="Arial"/>
        <x:family val="2"/>
      </x:rPr>
      <x:t xml:space="preserve"> </x:t>
    </x:r>
    <x:r>
      <x:rPr>
        <x:sz val="10"/>
        <x:color rgb="FF222222"/>
        <x:rFont val="돋움"/>
        <x:family val="3"/>
      </x:rPr>
      <x:t xml:space="preserve">후</x:t>
    </x:r>
    <x:r>
      <x:rPr>
        <x:sz val="10"/>
        <x:color rgb="FF222222"/>
        <x:rFont val="Arial"/>
        <x:family val="2"/>
      </x:rPr>
      <x:t xml:space="preserve"> </x:t>
    </x:r>
    <x:r>
      <x:rPr>
        <x:sz val="10"/>
        <x:color rgb="FF222222"/>
        <x:rFont val="돋움"/>
        <x:family val="3"/>
      </x:rPr>
      <x:t xml:space="preserve">전체</x:t>
    </x:r>
    <x:r>
      <x:rPr>
        <x:sz val="10"/>
        <x:color rgb="FF222222"/>
        <x:rFont val="Arial"/>
        <x:family val="2"/>
      </x:rPr>
      <x:t xml:space="preserve"> </x:t>
    </x:r>
    <x:r>
      <x:rPr>
        <x:sz val="10"/>
        <x:color rgb="FF222222"/>
        <x:rFont val="돋움"/>
        <x:family val="3"/>
      </x:rPr>
      <x:t xml:space="preserve">재장전</x:t>
    </x:r>
  </x:si>
  <x:si>
    <x:t xml:space="preserve">enemy_cannon</x:t>
  </x:si>
  <x:si>
    <x:t xml:space="preserve">적 기관포</x:t>
  </x:si>
  <x:si>
    <x:t xml:space="preserve">enemy</x:t>
  </x:si>
  <x:si>
    <x:t xml:space="preserve">enemyCannon</x:t>
  </x:si>
  <x:si>
    <x:t xml:space="preserve">enemy_missile</x:t>
  </x:si>
  <x:si>
    <x:t xml:space="preserve">적 미사일</x:t>
  </x:si>
  <x:si>
    <x:t xml:space="preserve">enemyMissile</x:t>
  </x:si>
  <x:si>
    <x:t xml:space="preserve">일반 적</x:t>
  </x:si>
  <x:si>
    <x:t xml:space="preserve">boss_missile</x:t>
  </x:si>
  <x:si>
    <x:t xml:space="preserve">보스 미사일</x:t>
  </x:si>
  <x:si>
    <x:t xml:space="preserve">bossMissile</x:t>
  </x:si>
  <x:si>
    <x:t xml:space="preserve">anti_air</x:t>
  </x:si>
  <x:si>
    <x:t xml:space="preserve">대공포</x:t>
  </x:si>
  <x:si>
    <x:t xml:space="preserve">antiAir</x:t>
  </x:si>
  <x:si>
    <x:t xml:space="preserve">탱크·함포</x:t>
  </x:si>
  <x:si>
    <x:t xml:space="preserve">플레이어 무기 비교</x:t>
  </x:si>
  <x:si>
    <x:t xml:space="preserve">탄창 전체 피해와 발사 간격·전체 재장전을 포함한 지속 화력입니다. 멀티는 최대 4표적 기준입니다.</x:t>
  </x:si>
  <x:si>
    <x:t xml:space="preserve">opening_damage</x:t>
  </x:si>
  <x:si>
    <x:t xml:space="preserve">sustained_damage_per_sec</x:t>
  </x:si>
</x:sst>
</file>

<file path=xl/styles.xml><?xml version="1.0" encoding="utf-8"?>
<x:styleSheet xmlns:x="http://schemas.openxmlformats.org/spreadsheetml/2006/main">
  <x:fonts count="9">
    <x:font>
      <x:sz val="11"/>
      <x:name val="Carlito"/>
    </x:font>
    <x:font>
      <x:b/>
      <x:sz val="16"/>
      <x:color rgb="FF222222"/>
      <x:name val="Arial"/>
    </x:font>
    <x:font>
      <x:i/>
      <x:sz val="10"/>
      <x:color rgb="FF666666"/>
      <x:name val="Arial"/>
    </x:font>
    <x:font>
      <x:b/>
      <x:sz val="10"/>
      <x:color rgb="FFFFFFFF"/>
      <x:name val="Arial"/>
    </x:font>
    <x:font>
      <x:sz val="10"/>
      <x:color rgb="FF222222"/>
      <x:name val="Arial"/>
    </x:font>
    <x:font>
      <x:sz val="11"/>
      <x:name val="Carlito"/>
    </x:font>
    <x:font>
      <x:sz val="8"/>
      <x:name val="돋움"/>
    </x:font>
    <x:font>
      <x:i/>
      <x:sz val="11"/>
      <x:color rgb="FF555555"/>
      <x:name val="Carlito"/>
    </x:font>
    <x:font>
      <x:sz val="10"/>
      <x:color rgb="FF222222"/>
      <x:name val="돋움"/>
    </x:font>
  </x:fonts>
  <x:fills count="5">
    <x:fill>
      <x:patternFill patternType="none"/>
    </x:fill>
    <x:fill>
      <x:patternFill patternType="gray125"/>
    </x:fill>
    <x:fill>
      <x:patternFill patternType="solid">
        <x:fgColor rgb="FF23395B"/>
      </x:patternFill>
    </x:fill>
    <x:fill>
      <x:patternFill patternType="solid">
        <x:fgColor rgb="FFFFF2CC"/>
      </x:patternFill>
    </x:fill>
    <x:fill>
      <x:patternFill patternType="solid">
        <x:fgColor rgb="FFEEEEEE"/>
      </x:patternFill>
    </x:fill>
  </x:fills>
  <x:borders count="4">
    <x:border/>
    <x:border>
      <x:right style="thin">
        <x:color rgb="FFFFFFFF"/>
      </x:right>
    </x:border>
    <x:border>
      <x:left style="thin">
        <x:color rgb="FFFFFFFF"/>
      </x:left>
    </x:border>
    <x:border>
      <x:left style="thin">
        <x:color rgb="FFFFFFFF"/>
      </x:left>
      <x:right style="thin">
        <x:color rgb="FFFFFFFF"/>
      </x:right>
    </x:border>
  </x:borders>
  <x:cellStyleXfs count="2">
    <x:xf numFmtId="0" fontId="0" fillId="0" borderId="0"/>
    <x:xf numFmtId="0" fontId="5" fillId="0" borderId="0"/>
  </x:cellStyleXfs>
  <x:cellXfs count="12">
    <x:xf numFmtId="0" fontId="0" fillId="0" borderId="0" xfId="0"/>
    <x:xf numFmtId="0" fontId="1" fillId="0" borderId="0" xfId="1" applyFont="1"/>
    <x:xf numFmtId="0" fontId="2" fillId="0" borderId="0" xfId="1" applyFont="1"/>
    <x:xf numFmtId="0" fontId="3" fillId="2" borderId="1" xfId="1" applyFont="1" applyFill="1" applyBorder="1" applyAlignment="1">
      <x:alignment horizontal="center" vertical="center" wrapText="1"/>
    </x:xf>
    <x:xf numFmtId="0" fontId="3" fillId="2" borderId="2" xfId="1" applyFont="1" applyFill="1" applyBorder="1" applyAlignment="1">
      <x:alignment horizontal="center" vertical="center" wrapText="1"/>
    </x:xf>
    <x:xf numFmtId="0" fontId="4" fillId="0" borderId="0" xfId="1" applyFont="1" applyAlignment="1">
      <x:alignment vertical="center" wrapText="1"/>
    </x:xf>
    <x:xf numFmtId="0" fontId="3" fillId="2" borderId="3" xfId="1" applyFont="1" applyFill="1" applyBorder="1" applyAlignment="1">
      <x:alignment horizontal="center" vertical="center" wrapText="1"/>
    </x:xf>
    <x:xf numFmtId="0" fontId="4" fillId="3" borderId="0" xfId="1" applyFont="1" applyFill="1" applyAlignment="1">
      <x:alignment vertical="center" wrapText="1"/>
    </x:xf>
    <x:xf numFmtId="2" fontId="4" fillId="3" borderId="0" xfId="1" applyNumberFormat="1" applyFont="1" applyFill="1" applyAlignment="1">
      <x:alignment vertical="center" wrapText="1"/>
    </x:xf>
    <x:xf numFmtId="2" fontId="4" fillId="0" borderId="0" xfId="1" applyNumberFormat="1" applyFont="1" applyAlignment="1">
      <x:alignment vertical="center" wrapText="1"/>
    </x:xf>
    <x:xf numFmtId="0" fontId="7" fillId="4" borderId="0" xfId="0" applyFont="1" applyFill="1"/>
    <x:xf numFmtId="0" fontId="4" fillId="3" borderId="0" xfId="1" applyFont="1" applyFill="1" applyAlignment="1">
      <x:alignment horizontal="right" vertical="center" wrapText="1"/>
    </x:xf>
  </x:cellXfs>
  <x:cellStyles count="2">
    <x:cellStyle name="Normal" xfId="1"/>
    <x:cellStyle name="표준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59b7294310b446b" /><Relationship Type="http://schemas.openxmlformats.org/officeDocument/2006/relationships/theme" Target="/xl/theme/theme1.xml" Id="R4ed57fe26b354067" /><Relationship Type="http://schemas.openxmlformats.org/officeDocument/2006/relationships/sharedStrings" Target="/xl/sharedStrings.xml" Id="R0d8fb93cba204645" /><Relationship Type="http://schemas.openxmlformats.org/officeDocument/2006/relationships/worksheet" Target="/xl/worksheets/sheet1.xml" Id="R7c50a2bb37b9426b" /><Relationship Type="http://schemas.openxmlformats.org/officeDocument/2006/relationships/worksheet" Target="/xl/worksheets/sheet2.xml" Id="Rfe89b8b42c3c4ccb" /><Relationship Type="http://schemas.openxmlformats.org/officeDocument/2006/relationships/worksheet" Target="/xl/worksheets/sheet3.xml" Id="R79fc3cb3c887412d" /></Relationships>
</file>

<file path=xl/tables/table1.xml><?xml version="1.0" encoding="utf-8"?>
<x:table xmlns:x="http://schemas.openxmlformats.org/spreadsheetml/2006/main" id="1" name="GuideTable" displayName="GuideTable" ref="A4:B9" totalsRowShown="0">
  <x:tableColumns count="2">
    <x:tableColumn id="1" name="item"/>
    <x:tableColumn id="2" name="descriptio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WeaponsTable" displayName="WeaponsTable" ref="A4:P11" totalsRowShown="0">
  <x:tableColumns count="16">
    <x:tableColumn id="1" name="weapon_id"/>
    <x:tableColumn id="2" name="display_name_ko"/>
    <x:tableColumn id="3" name="owner"/>
    <x:tableColumn id="4" name="weapon_type"/>
    <x:tableColumn id="5" name="damage"/>
    <x:tableColumn id="6" name="fire_interval_sec"/>
    <x:tableColumn id="7" name="ready_slots"/>
    <x:tableColumn id="8" name="reload_sec"/>
    <x:tableColumn id="9" name="lock_range_m"/>
    <x:tableColumn id="10" name="projectile_speed_mps"/>
    <x:tableColumn id="11" name="max_speed_mps"/>
    <x:tableColumn id="12" name="acceleration_mps2"/>
    <x:tableColumn id="13" name="turn_rate_rad_sec"/>
    <x:tableColumn id="14" name="lifetime_sec"/>
    <x:tableColumn id="15" name="engine_key"/>
    <x:tableColumn id="16" name="note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ComparisonTable" displayName="ComparisonTable" ref="A4:F6" totalsRowShown="0">
  <x:tableColumns count="6">
    <x:tableColumn id="1" name="weapon_id"/>
    <x:tableColumn id="2" name="damage"/>
    <x:tableColumn id="3" name="ready_slots"/>
    <x:tableColumn id="4" name="reload_sec"/>
    <x:tableColumn id="5" name="opening_damage"/>
    <x:tableColumn id="6" name="sustained_damage_per_sec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fb7bb4ef0e3496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30ff18228df04d4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c0f6cd370af54d95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4.25"/>
  <x:cols>
    <x:col min="1" max="1" width="22.5" customWidth="1"/>
    <x:col min="2" max="2" width="77.5" customWidth="1"/>
  </x:cols>
  <x:sheetData>
    <x:row r="1" ht="19.149999618530273" customHeight="1">
      <x:c r="A1" s="1" t="s">
        <x:v>0</x:v>
      </x:c>
    </x:row>
    <x:row r="2" ht="15" customHeight="1">
      <x:c r="A2" s="2" t="s">
        <x:v>1</x:v>
      </x:c>
    </x:row>
    <x:row r="4" ht="15" customHeight="1">
      <x:c r="A4" s="3" t="s">
        <x:v>2</x:v>
      </x:c>
      <x:c r="B4" s="4" t="s">
        <x:v>3</x:v>
      </x:c>
    </x:row>
    <x:row r="5" ht="15" customHeight="1">
      <x:c r="A5" s="5" t="s">
        <x:v>4</x:v>
      </x:c>
      <x:c r="B5" s="5" t="s">
        <x:v>5</x:v>
      </x:c>
    </x:row>
    <x:row r="6" ht="15" customHeight="1">
      <x:c r="A6" s="5" t="s">
        <x:v>6</x:v>
      </x:c>
      <x:c r="B6" s="5" t="s">
        <x:v>7</x:v>
      </x:c>
    </x:row>
    <x:row r="7" ht="15" customHeight="1">
      <x:c r="A7" s="5" t="s">
        <x:v>8</x:v>
      </x:c>
      <x:c r="B7" s="5" t="s">
        <x:v>9</x:v>
      </x:c>
    </x:row>
    <x:row r="8" ht="15" customHeight="1">
      <x:c r="A8" s="5" t="s">
        <x:v>10</x:v>
      </x:c>
      <x:c r="B8" s="5" t="s">
        <x:v>11</x:v>
      </x:c>
    </x:row>
    <x:row r="9" ht="15" customHeight="1">
      <x:c r="A9" s="5" t="s">
        <x:v>12</x:v>
      </x:c>
      <x:c r="B9" s="5" t="s">
        <x:v>13</x:v>
      </x:c>
    </x:row>
  </x:sheetData>
  <x:pageMargins left="0.7" right="0.7" top="0.75" bottom="0.75" header="0.3" footer="0.3"/>
  <x:tableParts count="1">
    <x:tablePart xmlns:r="http://schemas.openxmlformats.org/officeDocument/2006/relationships" r:id="R6fb7bb4ef0e3496c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4.25"/>
  <x:cols>
    <x:col min="1" max="2" width="17.5" customWidth="1"/>
    <x:col min="3" max="3" width="11.25" customWidth="1"/>
    <x:col min="4" max="4" width="12.5" customWidth="1"/>
    <x:col min="5" max="5" width="10" customWidth="1"/>
    <x:col min="6" max="6" width="15" customWidth="1"/>
    <x:col min="7" max="7" width="11.25" customWidth="1"/>
    <x:col min="8" max="8" width="12.5" customWidth="1"/>
    <x:col min="9" max="9" width="13.75" customWidth="1"/>
    <x:col min="10" max="10" width="17.5" customWidth="1"/>
    <x:col min="11" max="11" width="16.25" customWidth="1"/>
    <x:col min="12" max="13" width="17.5" customWidth="1"/>
    <x:col min="14" max="14" width="12.5" customWidth="1"/>
    <x:col min="15" max="15" width="15" customWidth="1"/>
    <x:col min="16" max="16" width="27.5" customWidth="1"/>
  </x:cols>
  <x:sheetData>
    <x:row r="1" ht="19.149999618530273" customHeight="1">
      <x:c r="A1" s="1" t="s">
        <x:v>14</x:v>
      </x:c>
    </x:row>
    <x:row r="2" ht="15" customHeight="1">
      <x:c r="A2" s="2" t="s">
        <x:v>15</x:v>
      </x:c>
    </x:row>
    <x:row r="4" ht="15" customHeight="1">
      <x:c r="A4" s="3" t="s">
        <x:v>6</x:v>
      </x:c>
      <x:c r="B4" s="6" t="s">
        <x:v>16</x:v>
      </x:c>
      <x:c r="C4" s="6" t="s">
        <x:v>17</x:v>
      </x:c>
      <x:c r="D4" s="6" t="s">
        <x:v>18</x:v>
      </x:c>
      <x:c r="E4" s="6" t="s">
        <x:v>19</x:v>
      </x:c>
      <x:c r="F4" s="6" t="s">
        <x:v>20</x:v>
      </x:c>
      <x:c r="G4" s="6" t="s">
        <x:v>21</x:v>
      </x:c>
      <x:c r="H4" s="6" t="s">
        <x:v>8</x:v>
      </x:c>
      <x:c r="I4" s="6" t="s">
        <x:v>10</x:v>
      </x:c>
      <x:c r="J4" s="6" t="s">
        <x:v>22</x:v>
      </x:c>
      <x:c r="K4" s="6" t="s">
        <x:v>23</x:v>
      </x:c>
      <x:c r="L4" s="6" t="s">
        <x:v>24</x:v>
      </x:c>
      <x:c r="M4" s="6" t="s">
        <x:v>25</x:v>
      </x:c>
      <x:c r="N4" s="6" t="s">
        <x:v>26</x:v>
      </x:c>
      <x:c r="O4" s="6" t="s">
        <x:v>12</x:v>
      </x:c>
      <x:c r="P4" s="4" t="s">
        <x:v>27</x:v>
      </x:c>
    </x:row>
    <x:row r="5" ht="15" customHeight="1">
      <x:c r="A5" s="10" t="s">
        <x:v>28</x:v>
      </x:c>
      <x:c r="B5" s="10" t="s">
        <x:v>29</x:v>
      </x:c>
      <x:c r="C5" s="10" t="s">
        <x:v>30</x:v>
      </x:c>
      <x:c r="D5" s="10" t="s">
        <x:v>31</x:v>
      </x:c>
      <x:c r="E5" s="10" t="s">
        <x:v>32</x:v>
      </x:c>
      <x:c r="F5" s="10" t="s">
        <x:v>33</x:v>
      </x:c>
      <x:c r="G5" s="10" t="s">
        <x:v>34</x:v>
      </x:c>
      <x:c r="H5" s="10" t="s">
        <x:v>35</x:v>
      </x:c>
      <x:c r="I5" s="10" t="s">
        <x:v>36</x:v>
      </x:c>
      <x:c r="J5" s="10" t="s">
        <x:v>37</x:v>
      </x:c>
      <x:c r="K5" s="10" t="s">
        <x:v>38</x:v>
      </x:c>
      <x:c r="L5" s="10" t="s">
        <x:v>39</x:v>
      </x:c>
      <x:c r="M5" s="10" t="s">
        <x:v>40</x:v>
      </x:c>
      <x:c r="N5" s="10" t="s">
        <x:v>41</x:v>
      </x:c>
      <x:c r="O5" s="10" t="s">
        <x:v>42</x:v>
      </x:c>
      <x:c r="P5" s="10" t="s">
        <x:v>43</x:v>
      </x:c>
    </x:row>
    <x:row r="6" ht="15" customHeight="1">
      <x:c r="A6" s="7" t="s">
        <x:v>44</x:v>
      </x:c>
      <x:c r="B6" s="7" t="s">
        <x:v>45</x:v>
      </x:c>
      <x:c r="C6" s="7" t="s">
        <x:v>46</x:v>
      </x:c>
      <x:c r="D6" s="7" t="s">
        <x:v>47</x:v>
      </x:c>
      <x:c r="E6" s="8">
        <x:v>18</x:v>
      </x:c>
      <x:c r="F6" s="8">
        <x:v>0.05</x:v>
      </x:c>
      <x:c r="G6" s="8"/>
      <x:c r="H6" s="8"/>
      <x:c r="I6" s="8">
        <x:v>1000</x:v>
      </x:c>
      <x:c r="J6" s="8">
        <x:v>1600</x:v>
      </x:c>
      <x:c r="K6" s="8"/>
      <x:c r="L6" s="8"/>
      <x:c r="M6" s="8"/>
      <x:c r="N6" s="8">
        <x:v>1.4</x:v>
      </x:c>
      <x:c r="O6" s="11" t="s">
        <x:v>47</x:v>
      </x:c>
      <x:c r="P6" s="7" t="s">
        <x:v>48</x:v>
      </x:c>
    </x:row>
    <x:row r="7" ht="32.25" customHeight="1">
      <x:c r="A7" s="7" t="s">
        <x:v>49</x:v>
      </x:c>
      <x:c r="B7" s="7" t="s">
        <x:v>50</x:v>
      </x:c>
      <x:c r="C7" s="7" t="s">
        <x:v>46</x:v>
      </x:c>
      <x:c r="D7" s="7" t="s">
        <x:v>51</x:v>
      </x:c>
      <x:c r="E7" s="8">
        <x:v>55</x:v>
      </x:c>
      <x:c r="F7" s="8">
        <x:v>0.3</x:v>
      </x:c>
      <x:c r="G7" s="8">
        <x:v>20</x:v>
      </x:c>
      <x:c r="H7" s="8">
        <x:v>15</x:v>
      </x:c>
      <x:c r="I7" s="8">
        <x:v>2000</x:v>
      </x:c>
      <x:c r="J7" s="8">
        <x:v>350</x:v>
      </x:c>
      <x:c r="K7" s="8">
        <x:v>1000</x:v>
      </x:c>
      <x:c r="L7" s="8">
        <x:v>450</x:v>
      </x:c>
      <x:c r="M7" s="8">
        <x:v>3.2</x:v>
      </x:c>
      <x:c r="N7" s="8">
        <x:v>6</x:v>
      </x:c>
      <x:c r="O7" s="11" t="s">
        <x:v>52</x:v>
      </x:c>
      <x:c r="P7" s="7" t="s">
        <x:v>53</x:v>
      </x:c>
    </x:row>
    <x:row r="8" ht="39" customHeight="1">
      <x:c r="A8" s="7" t="s">
        <x:v>54</x:v>
      </x:c>
      <x:c r="B8" s="7" t="s">
        <x:v>55</x:v>
      </x:c>
      <x:c r="C8" s="7" t="s">
        <x:v>46</x:v>
      </x:c>
      <x:c r="D8" s="7" t="s">
        <x:v>51</x:v>
      </x:c>
      <x:c r="E8" s="8">
        <x:v>85</x:v>
      </x:c>
      <x:c r="F8" s="8">
        <x:v>0.5</x:v>
      </x:c>
      <x:c r="G8" s="8" t="n">
        <x:v>16</x:v>
      </x:c>
      <x:c r="H8" s="8">
        <x:v>30</x:v>
      </x:c>
      <x:c r="I8" s="8">
        <x:v>3000</x:v>
      </x:c>
      <x:c r="J8" s="8">
        <x:v>450</x:v>
      </x:c>
      <x:c r="K8" s="8">
        <x:v>1400</x:v>
      </x:c>
      <x:c r="L8" s="8">
        <x:v>650</x:v>
      </x:c>
      <x:c r="M8" s="8">
        <x:v>4.5</x:v>
      </x:c>
      <x:c r="N8" s="8">
        <x:v>6</x:v>
      </x:c>
      <x:c r="O8" s="11" t="s">
        <x:v>56</x:v>
      </x:c>
      <x:c r="P8" s="7" t="s">
        <x:v>57</x:v>
      </x:c>
    </x:row>
    <x:row r="9" ht="15" customHeight="1">
      <x:c r="A9" s="7" t="s">
        <x:v>58</x:v>
      </x:c>
      <x:c r="B9" s="7" t="s">
        <x:v>59</x:v>
      </x:c>
      <x:c r="C9" s="7" t="s">
        <x:v>60</x:v>
      </x:c>
      <x:c r="D9" s="7" t="s">
        <x:v>47</x:v>
      </x:c>
      <x:c r="E9" s="8">
        <x:v>4</x:v>
      </x:c>
      <x:c r="F9" s="8"/>
      <x:c r="G9" s="8"/>
      <x:c r="H9" s="8"/>
      <x:c r="I9" s="8"/>
      <x:c r="J9" s="8">
        <x:v>1600</x:v>
      </x:c>
      <x:c r="K9" s="8"/>
      <x:c r="L9" s="8"/>
      <x:c r="M9" s="8"/>
      <x:c r="N9" s="8">
        <x:v>1.4</x:v>
      </x:c>
      <x:c r="O9" s="11" t="s">
        <x:v>61</x:v>
      </x:c>
      <x:c r="P9" s="7"/>
    </x:row>
    <x:row r="10" ht="15" customHeight="1">
      <x:c r="A10" s="7" t="s">
        <x:v>62</x:v>
      </x:c>
      <x:c r="B10" s="7" t="s">
        <x:v>63</x:v>
      </x:c>
      <x:c r="C10" s="7" t="s">
        <x:v>60</x:v>
      </x:c>
      <x:c r="D10" s="7" t="s">
        <x:v>51</x:v>
      </x:c>
      <x:c r="E10" s="8">
        <x:v>14</x:v>
      </x:c>
      <x:c r="F10" s="8"/>
      <x:c r="G10" s="8"/>
      <x:c r="H10" s="8"/>
      <x:c r="I10" s="8"/>
      <x:c r="J10" s="8">
        <x:v>350</x:v>
      </x:c>
      <x:c r="K10" s="8">
        <x:v>700</x:v>
      </x:c>
      <x:c r="L10" s="8">
        <x:v>220</x:v>
      </x:c>
      <x:c r="M10" s="8">
        <x:v>0.65</x:v>
      </x:c>
      <x:c r="N10" s="8">
        <x:v>6</x:v>
      </x:c>
      <x:c r="O10" s="11" t="s">
        <x:v>64</x:v>
      </x:c>
      <x:c r="P10" s="7" t="s">
        <x:v>65</x:v>
      </x:c>
    </x:row>
    <x:row r="11" ht="15" customHeight="1">
      <x:c r="A11" s="7" t="s">
        <x:v>66</x:v>
      </x:c>
      <x:c r="B11" s="7" t="s">
        <x:v>67</x:v>
      </x:c>
      <x:c r="C11" s="7" t="s">
        <x:v>60</x:v>
      </x:c>
      <x:c r="D11" s="7" t="s">
        <x:v>51</x:v>
      </x:c>
      <x:c r="E11" s="8">
        <x:v>20</x:v>
      </x:c>
      <x:c r="F11" s="8"/>
      <x:c r="G11" s="8"/>
      <x:c r="H11" s="8"/>
      <x:c r="I11" s="8"/>
      <x:c r="J11" s="8">
        <x:v>400</x:v>
      </x:c>
      <x:c r="K11" s="8">
        <x:v>850</x:v>
      </x:c>
      <x:c r="L11" s="8">
        <x:v>300</x:v>
      </x:c>
      <x:c r="M11" s="8">
        <x:v>0.9</x:v>
      </x:c>
      <x:c r="N11" s="8">
        <x:v>6</x:v>
      </x:c>
      <x:c r="O11" s="11" t="s">
        <x:v>68</x:v>
      </x:c>
      <x:c r="P11" s="7"/>
    </x:row>
    <x:row r="12">
      <x:c r="A12" s="7" t="s">
        <x:v>69</x:v>
      </x:c>
      <x:c r="B12" s="7" t="s">
        <x:v>70</x:v>
      </x:c>
      <x:c r="C12" s="7" t="s">
        <x:v>60</x:v>
      </x:c>
      <x:c r="D12" s="7" t="s">
        <x:v>47</x:v>
      </x:c>
      <x:c r="E12" s="8">
        <x:v>4</x:v>
      </x:c>
      <x:c r="F12" s="8"/>
      <x:c r="G12" s="8"/>
      <x:c r="H12" s="8"/>
      <x:c r="I12" s="8"/>
      <x:c r="J12" s="8">
        <x:v>1100</x:v>
      </x:c>
      <x:c r="K12" s="8"/>
      <x:c r="L12" s="8"/>
      <x:c r="M12" s="8"/>
      <x:c r="N12" s="8">
        <x:v>2.8</x:v>
      </x:c>
      <x:c r="O12" s="11" t="s">
        <x:v>71</x:v>
      </x:c>
      <x:c r="P12" s="7" t="s">
        <x:v>72</x:v>
      </x:c>
    </x:row>
  </x:sheetData>
  <x:pageMargins left="0.7" right="0.7" top="0.75" bottom="0.75" header="0.3" footer="0.3"/>
  <x:tableParts count="1">
    <x:tablePart xmlns:r="http://schemas.openxmlformats.org/officeDocument/2006/relationships" r:id="R30ff18228df04d44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4.25"/>
  <x:cols>
    <x:col min="1" max="1" width="20" customWidth="1"/>
    <x:col min="2" max="3" width="12.5" customWidth="1"/>
    <x:col min="4" max="4" width="13.75" customWidth="1"/>
    <x:col min="5" max="5" width="17.5" customWidth="1"/>
    <x:col min="6" max="6" width="23.75" customWidth="1"/>
  </x:cols>
  <x:sheetData>
    <x:row r="1" ht="19.149999618530273" customHeight="1">
      <x:c r="A1" s="1" t="s">
        <x:v>73</x:v>
      </x:c>
    </x:row>
    <x:row r="2" ht="15" customHeight="1">
      <x:c r="A2" s="2" t="s">
        <x:v>74</x:v>
      </x:c>
    </x:row>
    <x:row r="4" ht="15" customHeight="1">
      <x:c r="A4" s="3" t="s">
        <x:v>6</x:v>
      </x:c>
      <x:c r="B4" s="6" t="s">
        <x:v>19</x:v>
      </x:c>
      <x:c r="C4" s="6" t="s">
        <x:v>21</x:v>
      </x:c>
      <x:c r="D4" s="6" t="s">
        <x:v>8</x:v>
      </x:c>
      <x:c r="E4" s="6" t="s">
        <x:v>75</x:v>
      </x:c>
      <x:c r="F4" s="4" t="s">
        <x:v>76</x:v>
      </x:c>
    </x:row>
    <x:row r="5" ht="15" customHeight="1">
      <x:c r="A5" s="5" t="s">
        <x:v>49</x:v>
      </x:c>
      <x:c r="B5" s="9" t="n">
        <x:f>Weapons!E6</x:f>
        <x:v>18</x:v>
      </x:c>
      <x:c r="C5" s="9" t="n">
        <x:f>Weapons!G6</x:f>
        <x:v>0</x:v>
      </x:c>
      <x:c r="D5" s="9" t="n">
        <x:f>Weapons!H6</x:f>
        <x:v>0</x:v>
      </x:c>
      <x:c r="E5" s="9" t="n">
        <x:f>B5*C5</x:f>
        <x:v>0</x:v>
      </x:c>
      <x:c r="F5" s="9" t="n">
        <x:f>B5*C5/(D5+(C5-1)*Weapons!F6)</x:f>
        <x:v>0</x:v>
      </x:c>
    </x:row>
    <x:row r="6" ht="15" customHeight="1">
      <x:c r="A6" s="5" t="s">
        <x:v>54</x:v>
      </x:c>
      <x:c r="B6" s="9" t="n">
        <x:f>Weapons!E7</x:f>
        <x:v>55</x:v>
      </x:c>
      <x:c r="C6" s="9" t="n">
        <x:f>Weapons!G7</x:f>
        <x:v>20</x:v>
      </x:c>
      <x:c r="D6" s="9" t="n">
        <x:f>Weapons!H7</x:f>
        <x:v>15</x:v>
      </x:c>
      <x:c r="E6" s="9" t="n">
        <x:f>B6*C6</x:f>
        <x:v>1100</x:v>
      </x:c>
      <x:c r="F6" s="9" t="n">
        <x:f>B6*C6/(D6+(ROUNDUP(C6/4,0)-1)*Weapons!F7)</x:f>
        <x:v>67.90123456790124</x:v>
      </x:c>
    </x:row>
  </x:sheetData>
  <x:pageMargins left="0.7" right="0.7" top="0.75" bottom="0.75" header="0.3" footer="0.3"/>
  <x:tableParts count="1">
    <x:tablePart xmlns:r="http://schemas.openxmlformats.org/officeDocument/2006/relationships" r:id="Rc0f6cd370af54d95"/>
  </x:tableParts>
</x:worksheet>
</file>
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CY\AI\test\StarFighter\balance\"/>
    </mc:Choice>
  </mc:AlternateContent>
  <bookViews>
    <workbookView xWindow="0" yWindow="0" windowWidth="28800" windowHeight="13965"/>
  </bookViews>
  <sheets>
    <sheet name="Guide" sheetId="1" r:id="rId1"/>
    <sheet name="Cards" sheetId="2" r:id="rId2"/>
    <sheet name="Conditions" sheetId="3" r:id="rId3"/>
  </sheets>
  <calcPr calcId="162913"/>
</workbook>
</file>

<file path=xl/calcChain.xml><?xml version="1.0" encoding="utf-8"?>
<calcChain xmlns="http://schemas.openxmlformats.org/spreadsheetml/2006/main">
  <c r="G18" i="2" l="1"/>
  <c r="G17" i="2"/>
  <c r="G16" i="2"/>
  <c r="G15" i="2"/>
  <c r="G14" i="2"/>
  <c r="G13" i="2"/>
  <c r="G12" i="2"/>
  <c r="G11" i="2"/>
  <c r="G10" i="2"/>
  <c r="G9" i="2"/>
  <c r="G8" i="2"/>
  <c r="G7" i="2"/>
  <c r="G6" i="2"/>
</calcChain>
</file>

<file path=xl/sharedStrings.xml><?xml version="1.0" encoding="utf-8"?>
<sst xmlns="http://schemas.openxmlformats.org/spreadsheetml/2006/main" count="167" uniqueCount="118">
  <si>
    <t>카드 데이터</t>
  </si>
  <si>
    <t>스킬 카드의 종류, 단계별 효과, 등장 조건을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</si>
  <si>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</si>
  <si>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</si>
  <si>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Cards</t>
  </si>
  <si>
    <t>카드 이름·분류·최대 단계·후보 가중치를 관리합니다. 현재 게임은 가중치를 사용하지 않지만 향후 추첨 확장을 위해 포함합니다.</t>
  </si>
  <si>
    <t>Effects</t>
  </si>
  <si>
    <t>엔진 중립 효과 키와 연산을 단계별로 정의합니다. add는 기본값에 합산, multiply는 기본값에 곱합니다.</t>
  </si>
  <si>
    <t>Conditions</t>
  </si>
  <si>
    <t>카드 등장에 필요한 스탯 단계를 정의합니다.</t>
  </si>
  <si>
    <t>repair</t>
  </si>
  <si>
    <t>반복 가능한 즉시 효과 카드이며 max_rank가 비어 있습니다.</t>
  </si>
  <si>
    <t>카드 목록</t>
  </si>
  <si>
    <t>card_id는 저장 데이터와 코드가 공유하는 고정 식별자입니다.</t>
  </si>
  <si>
    <t>card_id</t>
  </si>
  <si>
    <t>display_name_ko</t>
  </si>
  <si>
    <t>category</t>
  </si>
  <si>
    <t>max_rank</t>
  </si>
  <si>
    <t>draw_weight</t>
  </si>
  <si>
    <t>is_stat</t>
  </si>
  <si>
    <t>description_ko</t>
  </si>
  <si>
    <t>e1_key</t>
  </si>
  <si>
    <t>e1_op</t>
  </si>
  <si>
    <t>e1_val</t>
  </si>
  <si>
    <t>e1_unit</t>
  </si>
  <si>
    <t>e2_key</t>
  </si>
  <si>
    <t>e2_op</t>
  </si>
  <si>
    <t>e2_val</t>
  </si>
  <si>
    <t>e2_unit</t>
  </si>
  <si>
    <t>e3_key</t>
  </si>
  <si>
    <t>e3_op</t>
  </si>
  <si>
    <t>e3_val</t>
  </si>
  <si>
    <t>e3_unit</t>
  </si>
  <si>
    <t>카드 ID</t>
  </si>
  <si>
    <t>한국어 표시 이름</t>
  </si>
  <si>
    <t>분류</t>
  </si>
  <si>
    <t>최대 단계</t>
  </si>
  <si>
    <t>추첨 가중치</t>
  </si>
  <si>
    <t>스탯 여부</t>
  </si>
  <si>
    <t>한국어 설명</t>
  </si>
  <si>
    <t>효과1 키</t>
  </si>
  <si>
    <t>효과1 연산</t>
  </si>
  <si>
    <t>효과1 수치</t>
  </si>
  <si>
    <t>효과1 단위</t>
  </si>
  <si>
    <t>효과2 키</t>
  </si>
  <si>
    <t>효과2 연산</t>
  </si>
  <si>
    <t>효과2 수치</t>
  </si>
  <si>
    <t>효과2 단위</t>
  </si>
  <si>
    <t>효과3 키</t>
  </si>
  <si>
    <t>효과3 연산</t>
  </si>
  <si>
    <t>효과3 수치</t>
  </si>
  <si>
    <t>효과3 단위</t>
  </si>
  <si>
    <t>mobility</t>
  </si>
  <si>
    <t>기동력</t>
  </si>
  <si>
    <t>stat</t>
  </si>
  <si>
    <t>max_pitch_rate_multiplier</t>
  </si>
  <si>
    <t>add_per_rank</t>
  </si>
  <si>
    <t>ratio</t>
  </si>
  <si>
    <t>max_roll_rate_multiplier</t>
  </si>
  <si>
    <t>max_yaw_rate_multiplier</t>
  </si>
  <si>
    <t>stability</t>
  </si>
  <si>
    <t>안정성</t>
  </si>
  <si>
    <t>stability_multiplier</t>
  </si>
  <si>
    <t>speed</t>
  </si>
  <si>
    <t>속도</t>
  </si>
  <si>
    <t>cruise_speed</t>
  </si>
  <si>
    <t>kts</t>
  </si>
  <si>
    <t>max_speed</t>
  </si>
  <si>
    <t>acceleration</t>
  </si>
  <si>
    <t>kts_per_sec</t>
  </si>
  <si>
    <t>defense</t>
  </si>
  <si>
    <t>방어력</t>
  </si>
  <si>
    <t>max_health</t>
  </si>
  <si>
    <t>hp</t>
  </si>
  <si>
    <t>power</t>
  </si>
  <si>
    <t>화력</t>
  </si>
  <si>
    <t>damage_multiplier</t>
  </si>
  <si>
    <t>control</t>
  </si>
  <si>
    <t>관제력</t>
  </si>
  <si>
    <t>lock_range_multiplier</t>
  </si>
  <si>
    <t>missile_turn_multiplier</t>
  </si>
  <si>
    <t>standardRack</t>
  </si>
  <si>
    <t>표준 미사일 랙 확장</t>
  </si>
  <si>
    <t>equipment</t>
  </si>
  <si>
    <t>standard_ready_slots</t>
  </si>
  <si>
    <t>count</t>
  </si>
  <si>
    <t>multiRack</t>
  </si>
  <si>
    <t>멀티 미사일 랙 확장</t>
  </si>
  <si>
    <t>multi_ready_slots</t>
  </si>
  <si>
    <t>reload</t>
  </si>
  <si>
    <t>신속 재장전</t>
  </si>
  <si>
    <t>missile_reload_multiplier</t>
  </si>
  <si>
    <t>subtract_per_rank</t>
  </si>
  <si>
    <t>warhead</t>
  </si>
  <si>
    <t>고출력 탄두</t>
  </si>
  <si>
    <t>multiply_add_per_rank</t>
  </si>
  <si>
    <t>guidance</t>
  </si>
  <si>
    <t>능동 유도 제어</t>
  </si>
  <si>
    <t>긴급 정비</t>
  </si>
  <si>
    <t>fallback</t>
  </si>
  <si>
    <t>health_restore</t>
  </si>
  <si>
    <t>instant_ratio</t>
  </si>
  <si>
    <t>score</t>
  </si>
  <si>
    <t>instant_add</t>
  </si>
  <si>
    <t>points</t>
  </si>
  <si>
    <t>multiSalvo</t>
  </si>
  <si>
    <t>멀티 관제 확장</t>
  </si>
  <si>
    <t>multi_lock_count</t>
  </si>
  <si>
    <t>count; max=8</t>
  </si>
  <si>
    <t>카드 등장 조건</t>
  </si>
  <si>
    <t>조건이 없는 카드는 이 표에 행을 만들지 않습니다.</t>
  </si>
  <si>
    <t>required_key</t>
  </si>
  <si>
    <t>operator</t>
  </si>
  <si>
    <t>value</t>
  </si>
  <si>
    <t>요구 스탯 키</t>
  </si>
  <si>
    <t>비교 연산자</t>
  </si>
  <si>
    <t>값</t>
  </si>
  <si>
    <t>&gt;=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</si>
</sst>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name val="Carlito"/>
    </font>
    <font>
      <b/>
      <sz val="16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i/>
      <sz val="11"/>
      <color rgb="FF555555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0" fillId="0" borderId="0" xfId="1" applyFont="1"/>
    <xf numFmtId="0" fontId="4" fillId="0" borderId="0" xfId="1" applyFont="1" applyAlignment="1">
      <alignment vertical="center" wrapText="1"/>
    </xf>
    <xf numFmtId="0" fontId="4" fillId="3" borderId="0" xfId="1" applyFont="1" applyFill="1" applyAlignment="1">
      <alignment vertical="center" wrapText="1"/>
    </xf>
    <xf numFmtId="0" fontId="5" fillId="4" borderId="0" xfId="1" applyFont="1" applyFill="1"/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GuideTable" displayName="GuideTable" ref="A4:B8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rdsTable" displayName="CardsTable" ref="A4:G17" totalsRowShown="0">
  <tableColumns count="7">
    <tableColumn id="1" name="card_id"/>
    <tableColumn id="2" name="display_name_ko"/>
    <tableColumn id="3" name="category"/>
    <tableColumn id="4" name="max_rank"/>
    <tableColumn id="5" name="draw_weight"/>
    <tableColumn id="6" name="is_stat"/>
    <tableColumn id="7" name="description_k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ditionsTable" displayName="ConditionsTable" ref="A4:D7" totalsRowShown="0">
  <tableColumns count="4">
    <tableColumn id="1" name="card_id"/>
    <tableColumn id="2" name="required_key"/>
    <tableColumn id="3" name="operator"/>
    <tableColumn id="4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showGridLines="0" tabSelected="1" workbookViewId="0">
      <pane ySplit="4" topLeftCell="A5" activePane="bottomLeft" state="frozen"/>
      <selection pane="bottomLeft" activeCell="L29" sqref="L29"/>
    </sheetView>
  </sheetViews>
  <sheetFormatPr defaultRowHeight="14.25"/>
  <cols>
    <col min="1" max="1" width="22.5" style="6" customWidth="1"/>
    <col min="2" max="2" width="77.5" style="6" customWidth="1"/>
  </cols>
  <sheetData>
    <row r="1" spans="1:2" ht="19.149999999999999" customHeight="1">
      <c r="A1" s="1" t="s">
        <v>0</v>
      </c>
    </row>
    <row r="2" spans="1:2" ht="15" customHeight="1">
      <c r="A2" s="2" t="s">
        <v>1</v>
      </c>
    </row>
    <row r="4" spans="1:2" ht="15" customHeight="1">
      <c r="A4" s="3" t="s">
        <v>2</v>
      </c>
      <c r="B4" s="4" t="s">
        <v>3</v>
      </c>
    </row>
    <row r="5" spans="1:2" ht="15" customHeight="1">
      <c r="A5" s="7" t="s">
        <v>4</v>
      </c>
      <c r="B5" s="7" t="s">
        <v>5</v>
      </c>
    </row>
    <row r="6" spans="1:2" ht="15" customHeight="1">
      <c r="A6" s="7" t="s">
        <v>6</v>
      </c>
      <c r="B6" s="7" t="s">
        <v>7</v>
      </c>
    </row>
    <row r="7" spans="1:2" ht="15" customHeight="1">
      <c r="A7" s="7" t="s">
        <v>8</v>
      </c>
      <c r="B7" s="7" t="s">
        <v>9</v>
      </c>
    </row>
    <row r="8" spans="1:2" ht="15" customHeight="1">
      <c r="A8" s="7" t="s">
        <v>10</v>
      </c>
      <c r="B8" s="7" t="s">
        <v>11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showGridLines="0" workbookViewId="0">
      <pane ySplit="4" topLeftCell="A5" activePane="bottomLeft" state="frozen"/>
      <selection pane="bottomLeft" activeCell="D30" sqref="D30"/>
    </sheetView>
  </sheetViews>
  <sheetFormatPr defaultRowHeight="14.25"/>
  <cols>
    <col min="1" max="1" width="17.5" style="6" customWidth="1"/>
    <col min="2" max="2" width="22.5" style="6" customWidth="1"/>
    <col min="3" max="3" width="13.75" style="6" customWidth="1"/>
    <col min="4" max="4" width="12.5" style="6" customWidth="1"/>
    <col min="5" max="5" width="13.75" style="6" customWidth="1"/>
    <col min="6" max="6" width="11.25" style="6" customWidth="1"/>
    <col min="7" max="7" width="43.75" style="6" customWidth="1"/>
  </cols>
  <sheetData>
    <row r="1" spans="1:19" ht="19.149999999999999" customHeight="1">
      <c r="A1" s="1" t="s">
        <v>12</v>
      </c>
    </row>
    <row r="2" spans="1:19" ht="15" customHeight="1">
      <c r="A2" s="2" t="s">
        <v>13</v>
      </c>
    </row>
    <row r="4" spans="1:19" ht="15" customHeight="1">
      <c r="A4" s="3" t="s">
        <v>14</v>
      </c>
      <c r="B4" s="5" t="s">
        <v>15</v>
      </c>
      <c r="C4" s="5" t="s">
        <v>16</v>
      </c>
      <c r="D4" s="5" t="s">
        <v>17</v>
      </c>
      <c r="E4" s="5" t="s">
        <v>18</v>
      </c>
      <c r="F4" s="5" t="s">
        <v>19</v>
      </c>
      <c r="G4" s="4" t="s">
        <v>20</v>
      </c>
      <c r="H4" t="s">
        <v>21</v>
      </c>
      <c r="I4" t="s">
        <v>22</v>
      </c>
      <c r="J4" t="s">
        <v>23</v>
      </c>
      <c r="K4" t="s">
        <v>24</v>
      </c>
      <c r="L4" t="s">
        <v>25</v>
      </c>
      <c r="M4" t="s">
        <v>26</v>
      </c>
      <c r="N4" t="s">
        <v>27</v>
      </c>
      <c r="O4" t="s">
        <v>28</v>
      </c>
      <c r="P4" t="s">
        <v>29</v>
      </c>
      <c r="Q4" t="s">
        <v>30</v>
      </c>
      <c r="R4" t="s">
        <v>31</v>
      </c>
      <c r="S4" t="s">
        <v>32</v>
      </c>
    </row>
    <row r="5" spans="1:19" ht="15" customHeight="1">
      <c r="A5" s="9" t="s">
        <v>33</v>
      </c>
      <c r="B5" s="9" t="s">
        <v>34</v>
      </c>
      <c r="C5" s="9" t="s">
        <v>35</v>
      </c>
      <c r="D5" s="9" t="s">
        <v>36</v>
      </c>
      <c r="E5" s="9" t="s">
        <v>37</v>
      </c>
      <c r="F5" s="9" t="s">
        <v>38</v>
      </c>
      <c r="G5" s="9" t="s">
        <v>39</v>
      </c>
      <c r="H5" t="s">
        <v>40</v>
      </c>
      <c r="I5" t="s">
        <v>41</v>
      </c>
      <c r="J5" t="s">
        <v>42</v>
      </c>
      <c r="K5" t="s">
        <v>43</v>
      </c>
      <c r="L5" t="s">
        <v>44</v>
      </c>
      <c r="M5" t="s">
        <v>45</v>
      </c>
      <c r="N5" t="s">
        <v>46</v>
      </c>
      <c r="O5" t="s">
        <v>47</v>
      </c>
      <c r="P5" t="s">
        <v>48</v>
      </c>
      <c r="Q5" t="s">
        <v>49</v>
      </c>
      <c r="R5" t="s">
        <v>50</v>
      </c>
      <c r="S5" t="s">
        <v>51</v>
      </c>
    </row>
    <row r="6" spans="1:19" ht="15" customHeight="1">
      <c r="A6" s="8" t="s">
        <v>52</v>
      </c>
      <c r="B6" s="8" t="s">
        <v>53</v>
      </c>
      <c r="C6" s="8" t="s">
        <v>54</v>
      </c>
      <c r="D6" s="8">
        <v>5</v>
      </c>
      <c r="E6" s="8">
        <v>100</v>
      </c>
      <c r="F6" s="8" t="b">
        <v>1</v>
      </c>
      <c r="G6" s="8" t="str">
        <f>"피치·롤·요 최대 회전속도 +" &amp; (J6*100) &amp; "%"</f>
        <v>피치·롤·요 최대 회전속도 +8%</v>
      </c>
      <c r="H6" t="s">
        <v>55</v>
      </c>
      <c r="I6" t="s">
        <v>56</v>
      </c>
      <c r="J6">
        <v>0.08</v>
      </c>
      <c r="K6" t="s">
        <v>57</v>
      </c>
      <c r="L6" t="s">
        <v>58</v>
      </c>
      <c r="M6" t="s">
        <v>56</v>
      </c>
      <c r="N6">
        <v>0.08</v>
      </c>
      <c r="O6" t="s">
        <v>57</v>
      </c>
      <c r="P6" t="s">
        <v>59</v>
      </c>
      <c r="Q6" t="s">
        <v>56</v>
      </c>
      <c r="R6">
        <v>0.08</v>
      </c>
      <c r="S6" t="s">
        <v>57</v>
      </c>
    </row>
    <row r="7" spans="1:19" ht="15" customHeight="1">
      <c r="A7" s="8" t="s">
        <v>60</v>
      </c>
      <c r="B7" s="8" t="s">
        <v>61</v>
      </c>
      <c r="C7" s="8" t="s">
        <v>54</v>
      </c>
      <c r="D7" s="8">
        <v>5</v>
      </c>
      <c r="E7" s="8">
        <v>100</v>
      </c>
      <c r="F7" s="8" t="b">
        <v>1</v>
      </c>
      <c r="G7" s="8" t="str">
        <f>"회전 정리·역입력 응답 +" &amp; (J7*100) &amp; "%"</f>
        <v>회전 정리·역입력 응답 +15%</v>
      </c>
      <c r="H7" t="s">
        <v>62</v>
      </c>
      <c r="I7" t="s">
        <v>56</v>
      </c>
      <c r="J7">
        <v>0.15</v>
      </c>
      <c r="K7" t="s">
        <v>57</v>
      </c>
    </row>
    <row r="8" spans="1:19" ht="15" customHeight="1">
      <c r="A8" s="8" t="s">
        <v>63</v>
      </c>
      <c r="B8" s="8" t="s">
        <v>64</v>
      </c>
      <c r="C8" s="8" t="s">
        <v>54</v>
      </c>
      <c r="D8" s="8">
        <v>5</v>
      </c>
      <c r="E8" s="8">
        <v>100</v>
      </c>
      <c r="F8" s="8" t="b">
        <v>1</v>
      </c>
      <c r="G8" s="8" t="str">
        <f>"순항 +" &amp; J8 &amp; " / 최고 +" &amp; N8 &amp; " kts · 가속 +" &amp; R8</f>
        <v>순항 +20 / 최고 +40 kts · 가속 +8</v>
      </c>
      <c r="H8" t="s">
        <v>65</v>
      </c>
      <c r="I8" t="s">
        <v>56</v>
      </c>
      <c r="J8">
        <v>20</v>
      </c>
      <c r="K8" t="s">
        <v>66</v>
      </c>
      <c r="L8" t="s">
        <v>67</v>
      </c>
      <c r="M8" t="s">
        <v>56</v>
      </c>
      <c r="N8">
        <v>40</v>
      </c>
      <c r="O8" t="s">
        <v>66</v>
      </c>
      <c r="P8" t="s">
        <v>68</v>
      </c>
      <c r="Q8" t="s">
        <v>56</v>
      </c>
      <c r="R8">
        <v>8</v>
      </c>
      <c r="S8" t="s">
        <v>69</v>
      </c>
    </row>
    <row r="9" spans="1:19" ht="15" customHeight="1">
      <c r="A9" s="8" t="s">
        <v>70</v>
      </c>
      <c r="B9" s="8" t="s">
        <v>71</v>
      </c>
      <c r="C9" s="8" t="s">
        <v>54</v>
      </c>
      <c r="D9" s="8">
        <v>5</v>
      </c>
      <c r="E9" s="8">
        <v>100</v>
      </c>
      <c r="F9" s="8" t="b">
        <v>1</v>
      </c>
      <c r="G9" s="8" t="str">
        <f>"최대 체력 +" &amp; J9 &amp; " · 증가분 회복"</f>
        <v>최대 체력 +20 · 증가분 회복</v>
      </c>
      <c r="H9" t="s">
        <v>72</v>
      </c>
      <c r="I9" t="s">
        <v>56</v>
      </c>
      <c r="J9">
        <v>20</v>
      </c>
      <c r="K9" t="s">
        <v>73</v>
      </c>
    </row>
    <row r="10" spans="1:19" ht="15" customHeight="1">
      <c r="A10" s="8" t="s">
        <v>74</v>
      </c>
      <c r="B10" s="8" t="s">
        <v>75</v>
      </c>
      <c r="C10" s="8" t="s">
        <v>54</v>
      </c>
      <c r="D10" s="8">
        <v>5</v>
      </c>
      <c r="E10" s="8">
        <v>100</v>
      </c>
      <c r="F10" s="8" t="b">
        <v>1</v>
      </c>
      <c r="G10" s="8" t="str">
        <f>"기본 무기 피해 배율 +" &amp; (J10*100) &amp; "%"</f>
        <v>기본 무기 피해 배율 +10%</v>
      </c>
      <c r="H10" t="s">
        <v>76</v>
      </c>
      <c r="I10" t="s">
        <v>56</v>
      </c>
      <c r="J10">
        <v>0.1</v>
      </c>
      <c r="K10" t="s">
        <v>57</v>
      </c>
    </row>
    <row r="11" spans="1:19" ht="15" customHeight="1">
      <c r="A11" s="8" t="s">
        <v>77</v>
      </c>
      <c r="B11" s="8" t="s">
        <v>78</v>
      </c>
      <c r="C11" s="8" t="s">
        <v>54</v>
      </c>
      <c r="D11" s="8">
        <v>5</v>
      </c>
      <c r="E11" s="8">
        <v>100</v>
      </c>
      <c r="F11" s="8" t="b">
        <v>1</v>
      </c>
      <c r="G11" s="8" t="str">
        <f>"락온 거리 +" &amp; (J11*100) &amp; "% · 유도 선회 +" &amp; (N11*100) &amp; "%"</f>
        <v>락온 거리 +10% · 유도 선회 +8%</v>
      </c>
      <c r="H11" t="s">
        <v>79</v>
      </c>
      <c r="I11" t="s">
        <v>56</v>
      </c>
      <c r="J11">
        <v>0.1</v>
      </c>
      <c r="K11" t="s">
        <v>57</v>
      </c>
      <c r="L11" t="s">
        <v>80</v>
      </c>
      <c r="M11" t="s">
        <v>56</v>
      </c>
      <c r="N11">
        <v>0.08</v>
      </c>
      <c r="O11" t="s">
        <v>57</v>
      </c>
    </row>
    <row r="12" spans="1:19" ht="15" customHeight="1">
      <c r="A12" s="8" t="s">
        <v>81</v>
      </c>
      <c r="B12" s="8" t="s">
        <v>82</v>
      </c>
      <c r="C12" s="8" t="s">
        <v>83</v>
      </c>
      <c r="D12" s="8">
        <v>3</v>
      </c>
      <c r="E12" s="8">
        <v>100</v>
      </c>
      <c r="F12" s="8" t="b">
        <v>0</v>
      </c>
      <c r="G12" s="8" t="str">
        <f>"표준 미사일 탄창 +" &amp; J12 &amp; "발"</f>
        <v>표준 미사일 탄창 +4발</v>
      </c>
      <c r="H12" t="s">
        <v>84</v>
      </c>
      <c r="I12" t="s">
        <v>56</v>
      </c>
      <c r="J12">
        <v>4</v>
      </c>
      <c r="K12" t="s">
        <v>85</v>
      </c>
    </row>
    <row r="13" spans="1:19" ht="15" customHeight="1">
      <c r="A13" s="8" t="s">
        <v>86</v>
      </c>
      <c r="B13" s="8" t="s">
        <v>87</v>
      </c>
      <c r="C13" s="8" t="s">
        <v>83</v>
      </c>
      <c r="D13" s="8">
        <v>3</v>
      </c>
      <c r="E13" s="8">
        <v>100</v>
      </c>
      <c r="F13" s="8" t="b">
        <v>0</v>
      </c>
      <c r="G13" s="8" t="str">
        <f>"멀티 미사일 탄창 +" &amp; J13 &amp; "발"</f>
        <v>멀티 미사일 탄창 +2발</v>
      </c>
      <c r="H13" t="s">
        <v>88</v>
      </c>
      <c r="I13" t="s">
        <v>56</v>
      </c>
      <c r="J13">
        <v>2</v>
      </c>
      <c r="K13" t="s">
        <v>85</v>
      </c>
    </row>
    <row r="14" spans="1:19" ht="15" customHeight="1">
      <c r="A14" s="8" t="s">
        <v>89</v>
      </c>
      <c r="B14" s="8" t="s">
        <v>90</v>
      </c>
      <c r="C14" s="8" t="s">
        <v>83</v>
      </c>
      <c r="D14" s="8">
        <v>5</v>
      </c>
      <c r="E14" s="8">
        <v>100</v>
      </c>
      <c r="F14" s="8" t="b">
        <v>0</v>
      </c>
      <c r="G14" s="8" t="str">
        <f>"두 미사일의 기본 재장전 시간 -" &amp; (J14*100) &amp; "%"</f>
        <v>두 미사일의 기본 재장전 시간 -10%</v>
      </c>
      <c r="H14" t="s">
        <v>91</v>
      </c>
      <c r="I14" t="s">
        <v>92</v>
      </c>
      <c r="J14">
        <v>0.1</v>
      </c>
      <c r="K14" t="s">
        <v>57</v>
      </c>
    </row>
    <row r="15" spans="1:19" ht="15" customHeight="1">
      <c r="A15" s="8" t="s">
        <v>93</v>
      </c>
      <c r="B15" s="8" t="s">
        <v>94</v>
      </c>
      <c r="C15" s="8" t="s">
        <v>83</v>
      </c>
      <c r="D15" s="8">
        <v>3</v>
      </c>
      <c r="E15" s="8">
        <v>100</v>
      </c>
      <c r="F15" s="8" t="b">
        <v>0</v>
      </c>
      <c r="G15" s="8" t="str">
        <f>"화력 보정 후 무기 피해 +" &amp; (J15*100) &amp; "% · 화력 3 필요"</f>
        <v>화력 보정 후 무기 피해 +10% · 화력 3 필요</v>
      </c>
      <c r="H15" t="s">
        <v>76</v>
      </c>
      <c r="I15" t="s">
        <v>95</v>
      </c>
      <c r="J15">
        <v>0.1</v>
      </c>
      <c r="K15" t="s">
        <v>57</v>
      </c>
    </row>
    <row r="16" spans="1:19" ht="15" customHeight="1">
      <c r="A16" s="8" t="s">
        <v>96</v>
      </c>
      <c r="B16" s="8" t="s">
        <v>97</v>
      </c>
      <c r="C16" s="8" t="s">
        <v>83</v>
      </c>
      <c r="D16" s="8">
        <v>3</v>
      </c>
      <c r="E16" s="8">
        <v>100</v>
      </c>
      <c r="F16" s="8" t="b">
        <v>0</v>
      </c>
      <c r="G16" s="8" t="str">
        <f>"미사일 유도 선회 성능 +" &amp; (J16*100) &amp; "% · 관제력 3 필요"</f>
        <v>미사일 유도 선회 성능 +15% · 관제력 3 필요</v>
      </c>
      <c r="H16" t="s">
        <v>80</v>
      </c>
      <c r="I16" t="s">
        <v>56</v>
      </c>
      <c r="J16">
        <v>0.15</v>
      </c>
      <c r="K16" t="s">
        <v>57</v>
      </c>
    </row>
    <row r="17" spans="1:15">
      <c r="A17" s="8" t="s">
        <v>10</v>
      </c>
      <c r="B17" s="8" t="s">
        <v>98</v>
      </c>
      <c r="C17" s="8" t="s">
        <v>99</v>
      </c>
      <c r="D17" s="8"/>
      <c r="E17" s="8">
        <v>0</v>
      </c>
      <c r="F17" s="8" t="b">
        <v>0</v>
      </c>
      <c r="G17" s="8" t="str">
        <f>"체력 " &amp; (J17*100) &amp; "% 회복 · 점수 +" &amp; N17</f>
        <v>체력 30% 회복 · 점수 +500</v>
      </c>
      <c r="H17" t="s">
        <v>100</v>
      </c>
      <c r="I17" t="s">
        <v>101</v>
      </c>
      <c r="J17">
        <v>0.3</v>
      </c>
      <c r="K17" t="s">
        <v>72</v>
      </c>
      <c r="L17" t="s">
        <v>102</v>
      </c>
      <c r="M17" t="s">
        <v>103</v>
      </c>
      <c r="N17">
        <v>500</v>
      </c>
      <c r="O17" t="s">
        <v>104</v>
      </c>
    </row>
    <row r="18" spans="1:15">
      <c r="A18" t="s">
        <v>105</v>
      </c>
      <c r="B18" t="s">
        <v>106</v>
      </c>
      <c r="C18" t="s">
        <v>83</v>
      </c>
      <c r="D18">
        <v>2</v>
      </c>
      <c r="E18">
        <v>100</v>
      </c>
      <c r="F18" t="b">
        <v>0</v>
      </c>
      <c r="G18" t="str">
        <f>"멀티 동시 락온·발사 +" &amp; J18 &amp; " (4→" &amp; (4+J18) &amp; "→" &amp; (4+J18*2) &amp; "발) · 관제력 2 필요"</f>
        <v>멀티 동시 락온·발사 +2 (4→6→8발) · 관제력 2 필요</v>
      </c>
      <c r="H18" t="s">
        <v>107</v>
      </c>
      <c r="I18" t="s">
        <v>56</v>
      </c>
      <c r="J18">
        <v>2</v>
      </c>
      <c r="K18" t="s">
        <v>108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18.75" style="6" customWidth="1"/>
    <col min="2" max="2" width="20" style="6" customWidth="1"/>
    <col min="3" max="4" width="12.5" style="6" customWidth="1"/>
  </cols>
  <sheetData>
    <row r="1" spans="1:4" ht="19.149999999999999" customHeight="1">
      <c r="A1" s="1" t="s">
        <v>109</v>
      </c>
    </row>
    <row r="2" spans="1:4" ht="15" customHeight="1">
      <c r="A2" s="2" t="s">
        <v>110</v>
      </c>
    </row>
    <row r="4" spans="1:4" ht="15" customHeight="1">
      <c r="A4" s="3" t="s">
        <v>14</v>
      </c>
      <c r="B4" s="5" t="s">
        <v>111</v>
      </c>
      <c r="C4" s="5" t="s">
        <v>112</v>
      </c>
      <c r="D4" s="4" t="s">
        <v>113</v>
      </c>
    </row>
    <row r="5" spans="1:4" ht="15" customHeight="1">
      <c r="A5" s="9" t="s">
        <v>33</v>
      </c>
      <c r="B5" s="9" t="s">
        <v>114</v>
      </c>
      <c r="C5" s="9" t="s">
        <v>115</v>
      </c>
      <c r="D5" s="9" t="s">
        <v>116</v>
      </c>
    </row>
    <row r="6" spans="1:4" ht="15" customHeight="1">
      <c r="A6" s="8" t="s">
        <v>93</v>
      </c>
      <c r="B6" s="8" t="s">
        <v>74</v>
      </c>
      <c r="C6" s="8" t="s">
        <v>117</v>
      </c>
      <c r="D6" s="8">
        <v>3</v>
      </c>
    </row>
    <row r="7" spans="1:4">
      <c r="A7" s="8" t="s">
        <v>96</v>
      </c>
      <c r="B7" s="8" t="s">
        <v>77</v>
      </c>
      <c r="C7" s="8" t="s">
        <v>117</v>
      </c>
      <c r="D7" s="8">
        <v>3</v>
      </c>
    </row>
    <row r="8" spans="1:4">
      <c r="A8" t="s">
        <v>105</v>
      </c>
      <c r="B8" t="s">
        <v>77</v>
      </c>
      <c r="C8" t="s">
        <v>117</v>
      </c>
      <c r="D8">
        <v>2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Guide</vt:lpstr>
      <vt:lpstr>Cards</vt:lpstr>
      <vt:lpstr>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rasiail</cp:lastModifiedBy>
  <dcterms:created xsi:type="dcterms:W3CDTF">2026-09-21T01:56:31Z</dcterms:created>
  <dcterms:modified xsi:type="dcterms:W3CDTF">2026-09-21T02:52:31Z</dcterms:modified>
</cp:coreProperties>
</file>
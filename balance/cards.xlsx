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3965" tabRatio="600" firstSheet="0" activeTab="0" autoFilterDateGrouping="1"/>
  </bookViews>
  <sheets>
    <sheet name="Guide" sheetId="1" state="visible" r:id="rId1"/>
    <sheet name="Cards" sheetId="2" state="visible" r:id="rId2"/>
    <sheet name="Conditions" sheetId="3" state="visible" r:id="rId3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8">
    <font>
      <name val="Carlito"/>
      <sz val="11"/>
    </font>
    <font>
      <name val="Arial"/>
      <family val="2"/>
      <b val="1"/>
      <color rgb="FF222222"/>
      <sz val="16"/>
    </font>
    <font>
      <name val="Arial"/>
      <family val="2"/>
      <i val="1"/>
      <color rgb="FF666666"/>
      <sz val="10"/>
    </font>
    <font>
      <name val="Arial"/>
      <family val="2"/>
      <b val="1"/>
      <color rgb="FFFFFFFF"/>
      <sz val="10"/>
    </font>
    <font>
      <name val="Arial"/>
      <family val="2"/>
      <color rgb="FF222222"/>
      <sz val="10"/>
    </font>
    <font>
      <name val="Carlito"/>
      <i val="1"/>
      <color rgb="FF555555"/>
      <sz val="11"/>
    </font>
    <font>
      <name val="Carlito"/>
      <sz val="11"/>
    </font>
    <font>
      <name val="돋움"/>
      <charset val="129"/>
      <family val="3"/>
      <sz val="8"/>
    </font>
  </fonts>
  <fills count="5">
    <fill>
      <patternFill/>
    </fill>
    <fill>
      <patternFill patternType="gray125"/>
    </fill>
    <fill>
      <patternFill patternType="solid">
        <fgColor rgb="FF23395B"/>
      </patternFill>
    </fill>
    <fill>
      <patternFill patternType="solid">
        <fgColor rgb="FFFFF2CC"/>
      </patternFill>
    </fill>
    <fill>
      <patternFill patternType="solid">
        <fgColor rgb="FFEEEEEE"/>
        <bgColor rgb="FFEEEEEE"/>
      </patternFill>
    </fill>
  </fills>
  <borders count="4">
    <border>
      <left/>
      <right/>
      <top/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</borders>
  <cellStyleXfs count="2">
    <xf numFmtId="0" fontId="6" fillId="0" borderId="0"/>
    <xf numFmtId="0" fontId="6" fillId="0" borderId="0"/>
  </cellStyleXfs>
  <cellXfs count="10">
    <xf numFmtId="0" fontId="0" fillId="0" borderId="0" pivotButton="0" quotePrefix="0" xfId="0"/>
    <xf numFmtId="0" fontId="1" fillId="0" borderId="0" pivotButton="0" quotePrefix="0" xfId="1"/>
    <xf numFmtId="0" fontId="2" fillId="0" borderId="0" pivotButton="0" quotePrefix="0" xfId="1"/>
    <xf numFmtId="0" fontId="3" fillId="2" borderId="1" applyAlignment="1" pivotButton="0" quotePrefix="0" xfId="1">
      <alignment horizontal="center" vertical="center" wrapText="1"/>
    </xf>
    <xf numFmtId="0" fontId="3" fillId="2" borderId="2" applyAlignment="1" pivotButton="0" quotePrefix="0" xfId="1">
      <alignment horizontal="center" vertical="center" wrapText="1"/>
    </xf>
    <xf numFmtId="0" fontId="3" fillId="2" borderId="3" applyAlignment="1" pivotButton="0" quotePrefix="0" xfId="1">
      <alignment horizontal="center" vertical="center" wrapText="1"/>
    </xf>
    <xf numFmtId="0" fontId="0" fillId="0" borderId="0" pivotButton="0" quotePrefix="0" xfId="1"/>
    <xf numFmtId="0" fontId="4" fillId="0" borderId="0" applyAlignment="1" pivotButton="0" quotePrefix="0" xfId="1">
      <alignment vertical="center" wrapText="1"/>
    </xf>
    <xf numFmtId="0" fontId="4" fillId="3" borderId="0" applyAlignment="1" pivotButton="0" quotePrefix="0" xfId="1">
      <alignment vertical="center" wrapText="1"/>
    </xf>
    <xf numFmtId="0" fontId="5" fillId="4" borderId="0" pivotButton="0" quotePrefix="0" xfId="1"/>
  </cellXfs>
  <cellStyles count="2">
    <cellStyle name="표준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GuideTable" displayName="GuideTable" ref="A4:B8" headerRowCount="1" totalsRowShown="0">
  <tableColumns count="2">
    <tableColumn id="1" name="item"/>
    <tableColumn id="2" name="descrip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ardsTable" displayName="CardsTable" ref="A4:G17" headerRowCount="1" totalsRowShown="0">
  <tableColumns count="7">
    <tableColumn id="1" name="card_id"/>
    <tableColumn id="2" name="display_name_ko"/>
    <tableColumn id="3" name="category"/>
    <tableColumn id="4" name="max_rank"/>
    <tableColumn id="5" name="draw_weight"/>
    <tableColumn id="6" name="is_stat"/>
    <tableColumn id="7" name="description_k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onditionsTable" displayName="ConditionsTable" ref="A4:D7" headerRowCount="1" totalsRowShown="0">
  <tableColumns count="4">
    <tableColumn id="1" name="card_id"/>
    <tableColumn id="2" name="required_key"/>
    <tableColumn id="3" name="operator"/>
    <tableColumn id="4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showGridLines="0" tabSelected="1" workbookViewId="0">
      <pane ySplit="4" topLeftCell="A5" activePane="bottomLeft" state="frozen"/>
      <selection pane="bottomLeft" activeCell="L29" sqref="L29"/>
    </sheetView>
  </sheetViews>
  <sheetFormatPr baseColWidth="8" defaultRowHeight="14.25"/>
  <cols>
    <col width="22.5" customWidth="1" style="6" min="1" max="1"/>
    <col width="77.5" customWidth="1" style="6" min="2" max="2"/>
  </cols>
  <sheetData>
    <row r="1" ht="19.15" customHeight="1">
      <c r="A1" s="1" t="inlineStr">
        <is>
          <t>카드 데이터</t>
        </is>
      </c>
    </row>
    <row r="2" ht="15" customHeight="1">
      <c r="A2" s="2" t="inlineStr">
        <is>
          <t>스킬 카드의 종류, 단계별 효과, 등장 조건을 관리하는 밸런스 데이터입니다. 노란색 셀은 수정 가능한 원본 데이터입니다. ID 열은 코드 참조이므로 변경할 때 관련 참조도 함께 수정합니다.</t>
        </is>
      </c>
    </row>
    <row r="4" ht="15" customHeight="1">
      <c r="A4" s="3" t="inlineStr">
        <is>
          <t>item</t>
        </is>
      </c>
      <c r="B4" s="4" t="inlineStr">
        <is>
          <t>description</t>
        </is>
      </c>
    </row>
    <row r="5" ht="15" customHeight="1">
      <c r="A5" s="7" t="inlineStr">
        <is>
          <t>Cards</t>
        </is>
      </c>
      <c r="B5" s="7" t="inlineStr">
        <is>
          <t>카드 이름·분류·최대 단계·후보 가중치를 관리합니다. 현재 게임은 가중치를 사용하지 않지만 향후 추첨 확장을 위해 포함합니다.</t>
        </is>
      </c>
    </row>
    <row r="6" ht="15" customHeight="1">
      <c r="A6" s="7" t="inlineStr">
        <is>
          <t>Effects</t>
        </is>
      </c>
      <c r="B6" s="7" t="inlineStr">
        <is>
          <t>엔진 중립 효과 키와 연산을 단계별로 정의합니다. add는 기본값에 합산, multiply는 기본값에 곱합니다.</t>
        </is>
      </c>
    </row>
    <row r="7" ht="15" customHeight="1">
      <c r="A7" s="7" t="inlineStr">
        <is>
          <t>Conditions</t>
        </is>
      </c>
      <c r="B7" s="7" t="inlineStr">
        <is>
          <t>카드 등장에 필요한 스탯 단계를 정의합니다.</t>
        </is>
      </c>
    </row>
    <row r="8" ht="15" customHeight="1">
      <c r="A8" s="7" t="inlineStr">
        <is>
          <t>repair</t>
        </is>
      </c>
      <c r="B8" s="7" t="inlineStr">
        <is>
          <t>반복 가능한 즉시 효과 카드이며 max_rank가 비어 있습니다.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9"/>
  <sheetViews>
    <sheetView showGridLines="0" workbookViewId="0">
      <pane ySplit="4" topLeftCell="A5" activePane="bottomLeft" state="frozen"/>
      <selection pane="bottomLeft" activeCell="D30" sqref="D30"/>
    </sheetView>
  </sheetViews>
  <sheetFormatPr baseColWidth="8" defaultRowHeight="14.25"/>
  <cols>
    <col width="17.5" customWidth="1" style="6" min="1" max="1"/>
    <col width="22.5" customWidth="1" style="6" min="2" max="2"/>
    <col width="13.75" customWidth="1" style="6" min="3" max="3"/>
    <col width="12.5" customWidth="1" style="6" min="4" max="4"/>
    <col width="13.75" customWidth="1" style="6" min="5" max="5"/>
    <col width="11.25" customWidth="1" style="6" min="6" max="6"/>
    <col width="43.75" customWidth="1" style="6" min="7" max="7"/>
  </cols>
  <sheetData>
    <row r="1" ht="19.15" customHeight="1">
      <c r="A1" s="1" t="inlineStr">
        <is>
          <t>카드 목록</t>
        </is>
      </c>
    </row>
    <row r="2" ht="15" customHeight="1">
      <c r="A2" s="2" t="inlineStr">
        <is>
          <t>card_id는 저장 데이터와 코드가 공유하는 고정 식별자입니다.</t>
        </is>
      </c>
    </row>
    <row r="4" ht="15" customHeight="1">
      <c r="A4" s="3" t="inlineStr">
        <is>
          <t>card_id</t>
        </is>
      </c>
      <c r="B4" s="5" t="inlineStr">
        <is>
          <t>display_name_ko</t>
        </is>
      </c>
      <c r="C4" s="5" t="inlineStr">
        <is>
          <t>category</t>
        </is>
      </c>
      <c r="D4" s="5" t="inlineStr">
        <is>
          <t>max_rank</t>
        </is>
      </c>
      <c r="E4" s="5" t="inlineStr">
        <is>
          <t>draw_weight</t>
        </is>
      </c>
      <c r="F4" s="5" t="inlineStr">
        <is>
          <t>is_stat</t>
        </is>
      </c>
      <c r="G4" s="4" t="inlineStr">
        <is>
          <t>description_ko</t>
        </is>
      </c>
      <c r="H4" t="inlineStr">
        <is>
          <t>e1_key</t>
        </is>
      </c>
      <c r="I4" t="inlineStr">
        <is>
          <t>e1_op</t>
        </is>
      </c>
      <c r="J4" t="inlineStr">
        <is>
          <t>e1_val</t>
        </is>
      </c>
      <c r="K4" t="inlineStr">
        <is>
          <t>e1_unit</t>
        </is>
      </c>
      <c r="L4" t="inlineStr">
        <is>
          <t>e2_key</t>
        </is>
      </c>
      <c r="M4" t="inlineStr">
        <is>
          <t>e2_op</t>
        </is>
      </c>
      <c r="N4" t="inlineStr">
        <is>
          <t>e2_val</t>
        </is>
      </c>
      <c r="O4" t="inlineStr">
        <is>
          <t>e2_unit</t>
        </is>
      </c>
      <c r="P4" t="inlineStr">
        <is>
          <t>e3_key</t>
        </is>
      </c>
      <c r="Q4" t="inlineStr">
        <is>
          <t>e3_op</t>
        </is>
      </c>
      <c r="R4" t="inlineStr">
        <is>
          <t>e3_val</t>
        </is>
      </c>
      <c r="S4" t="inlineStr">
        <is>
          <t>e3_unit</t>
        </is>
      </c>
    </row>
    <row r="5" ht="15" customHeight="1">
      <c r="A5" s="9" t="inlineStr">
        <is>
          <t>카드 ID</t>
        </is>
      </c>
      <c r="B5" s="9" t="inlineStr">
        <is>
          <t>한국어 표시 이름</t>
        </is>
      </c>
      <c r="C5" s="9" t="inlineStr">
        <is>
          <t>분류</t>
        </is>
      </c>
      <c r="D5" s="9" t="inlineStr">
        <is>
          <t>최대 단계</t>
        </is>
      </c>
      <c r="E5" s="9" t="inlineStr">
        <is>
          <t>추첨 가중치</t>
        </is>
      </c>
      <c r="F5" s="9" t="inlineStr">
        <is>
          <t>스탯 여부</t>
        </is>
      </c>
      <c r="G5" s="9" t="inlineStr">
        <is>
          <t>한국어 설명</t>
        </is>
      </c>
      <c r="H5" t="inlineStr">
        <is>
          <t>효과1 키</t>
        </is>
      </c>
      <c r="I5" t="inlineStr">
        <is>
          <t>효과1 연산</t>
        </is>
      </c>
      <c r="J5" t="inlineStr">
        <is>
          <t>효과1 수치</t>
        </is>
      </c>
      <c r="K5" t="inlineStr">
        <is>
          <t>효과1 단위</t>
        </is>
      </c>
      <c r="L5" t="inlineStr">
        <is>
          <t>효과2 키</t>
        </is>
      </c>
      <c r="M5" t="inlineStr">
        <is>
          <t>효과2 연산</t>
        </is>
      </c>
      <c r="N5" t="inlineStr">
        <is>
          <t>효과2 수치</t>
        </is>
      </c>
      <c r="O5" t="inlineStr">
        <is>
          <t>효과2 단위</t>
        </is>
      </c>
      <c r="P5" t="inlineStr">
        <is>
          <t>효과3 키</t>
        </is>
      </c>
      <c r="Q5" t="inlineStr">
        <is>
          <t>효과3 연산</t>
        </is>
      </c>
      <c r="R5" t="inlineStr">
        <is>
          <t>효과3 수치</t>
        </is>
      </c>
      <c r="S5" t="inlineStr">
        <is>
          <t>효과3 단위</t>
        </is>
      </c>
    </row>
    <row r="6" ht="15" customHeight="1">
      <c r="A6" s="8" t="inlineStr">
        <is>
          <t>mobility</t>
        </is>
      </c>
      <c r="B6" s="8" t="inlineStr">
        <is>
          <t>기동력</t>
        </is>
      </c>
      <c r="C6" s="8" t="inlineStr">
        <is>
          <t>stat</t>
        </is>
      </c>
      <c r="D6" s="8" t="n">
        <v>5</v>
      </c>
      <c r="E6" s="8" t="n">
        <v>100</v>
      </c>
      <c r="F6" s="8" t="b">
        <v>1</v>
      </c>
      <c r="G6" s="8">
        <f>"피치·롤·요 최대 회전속도 +" &amp; (J6*100) &amp; "%"</f>
        <v/>
      </c>
      <c r="H6" t="inlineStr">
        <is>
          <t>max_pitch_rate_multiplier</t>
        </is>
      </c>
      <c r="I6" t="inlineStr">
        <is>
          <t>add_per_rank</t>
        </is>
      </c>
      <c r="J6" t="n">
        <v>0.08</v>
      </c>
      <c r="K6" t="inlineStr">
        <is>
          <t>ratio</t>
        </is>
      </c>
      <c r="L6" t="inlineStr">
        <is>
          <t>max_roll_rate_multiplier</t>
        </is>
      </c>
      <c r="M6" t="inlineStr">
        <is>
          <t>add_per_rank</t>
        </is>
      </c>
      <c r="N6" t="n">
        <v>0.08</v>
      </c>
      <c r="O6" t="inlineStr">
        <is>
          <t>ratio</t>
        </is>
      </c>
      <c r="P6" t="inlineStr">
        <is>
          <t>max_yaw_rate_multiplier</t>
        </is>
      </c>
      <c r="Q6" t="inlineStr">
        <is>
          <t>add_per_rank</t>
        </is>
      </c>
      <c r="R6" t="n">
        <v>0.08</v>
      </c>
      <c r="S6" t="inlineStr">
        <is>
          <t>ratio</t>
        </is>
      </c>
    </row>
    <row r="7" ht="15" customHeight="1">
      <c r="A7" s="8" t="inlineStr">
        <is>
          <t>stability</t>
        </is>
      </c>
      <c r="B7" s="8" t="inlineStr">
        <is>
          <t>안정성</t>
        </is>
      </c>
      <c r="C7" s="8" t="inlineStr">
        <is>
          <t>stat</t>
        </is>
      </c>
      <c r="D7" s="8" t="n">
        <v>5</v>
      </c>
      <c r="E7" s="8" t="n">
        <v>100</v>
      </c>
      <c r="F7" s="8" t="b">
        <v>1</v>
      </c>
      <c r="G7" s="8">
        <f>"회전 정리·역입력 응답 +" &amp; (J7*100) &amp; "%"</f>
        <v/>
      </c>
      <c r="H7" t="inlineStr">
        <is>
          <t>stability_multiplier</t>
        </is>
      </c>
      <c r="I7" t="inlineStr">
        <is>
          <t>add_per_rank</t>
        </is>
      </c>
      <c r="J7" t="n">
        <v>0.15</v>
      </c>
      <c r="K7" t="inlineStr">
        <is>
          <t>ratio</t>
        </is>
      </c>
    </row>
    <row r="8" ht="15" customHeight="1">
      <c r="A8" s="8" t="inlineStr">
        <is>
          <t>speed</t>
        </is>
      </c>
      <c r="B8" s="8" t="inlineStr">
        <is>
          <t>속도</t>
        </is>
      </c>
      <c r="C8" s="8" t="inlineStr">
        <is>
          <t>stat</t>
        </is>
      </c>
      <c r="D8" s="8" t="n">
        <v>5</v>
      </c>
      <c r="E8" s="8" t="n">
        <v>100</v>
      </c>
      <c r="F8" s="8" t="b">
        <v>1</v>
      </c>
      <c r="G8" s="8">
        <f>"순항 +" &amp; J8 &amp; " / 최고 +" &amp; N8 &amp; " kts · 가속 +" &amp; R8</f>
        <v/>
      </c>
      <c r="H8" t="inlineStr">
        <is>
          <t>cruise_speed</t>
        </is>
      </c>
      <c r="I8" t="inlineStr">
        <is>
          <t>add_per_rank</t>
        </is>
      </c>
      <c r="J8" t="n">
        <v>20</v>
      </c>
      <c r="K8" t="inlineStr">
        <is>
          <t>kts</t>
        </is>
      </c>
      <c r="L8" t="inlineStr">
        <is>
          <t>max_speed</t>
        </is>
      </c>
      <c r="M8" t="inlineStr">
        <is>
          <t>add_per_rank</t>
        </is>
      </c>
      <c r="N8" t="n">
        <v>40</v>
      </c>
      <c r="O8" t="inlineStr">
        <is>
          <t>kts</t>
        </is>
      </c>
      <c r="P8" t="inlineStr">
        <is>
          <t>acceleration</t>
        </is>
      </c>
      <c r="Q8" t="inlineStr">
        <is>
          <t>add_per_rank</t>
        </is>
      </c>
      <c r="R8" t="n">
        <v>8</v>
      </c>
      <c r="S8" t="inlineStr">
        <is>
          <t>kts_per_sec</t>
        </is>
      </c>
    </row>
    <row r="9" ht="15" customHeight="1">
      <c r="A9" s="8" t="inlineStr">
        <is>
          <t>defense</t>
        </is>
      </c>
      <c r="B9" s="8" t="inlineStr">
        <is>
          <t>방어력</t>
        </is>
      </c>
      <c r="C9" s="8" t="inlineStr">
        <is>
          <t>stat</t>
        </is>
      </c>
      <c r="D9" s="8" t="n">
        <v>5</v>
      </c>
      <c r="E9" s="8" t="n">
        <v>100</v>
      </c>
      <c r="F9" s="8" t="b">
        <v>1</v>
      </c>
      <c r="G9" s="8">
        <f>"최대 체력 +" &amp; J9 &amp; " · 증가분 회복"</f>
        <v/>
      </c>
      <c r="H9" t="inlineStr">
        <is>
          <t>max_health</t>
        </is>
      </c>
      <c r="I9" t="inlineStr">
        <is>
          <t>add_per_rank</t>
        </is>
      </c>
      <c r="J9" t="n">
        <v>20</v>
      </c>
      <c r="K9" t="inlineStr">
        <is>
          <t>hp</t>
        </is>
      </c>
    </row>
    <row r="10" ht="15" customHeight="1">
      <c r="A10" s="8" t="inlineStr">
        <is>
          <t>power</t>
        </is>
      </c>
      <c r="B10" s="8" t="inlineStr">
        <is>
          <t>화력</t>
        </is>
      </c>
      <c r="C10" s="8" t="inlineStr">
        <is>
          <t>stat</t>
        </is>
      </c>
      <c r="D10" s="8" t="n">
        <v>5</v>
      </c>
      <c r="E10" s="8" t="n">
        <v>100</v>
      </c>
      <c r="F10" s="8" t="b">
        <v>1</v>
      </c>
      <c r="G10" s="8">
        <f>"기본 무기 피해 배율 +" &amp; (J10*100) &amp; "%"</f>
        <v/>
      </c>
      <c r="H10" t="inlineStr">
        <is>
          <t>damage_multiplier</t>
        </is>
      </c>
      <c r="I10" t="inlineStr">
        <is>
          <t>add_per_rank</t>
        </is>
      </c>
      <c r="J10" t="n">
        <v>0.1</v>
      </c>
      <c r="K10" t="inlineStr">
        <is>
          <t>ratio</t>
        </is>
      </c>
    </row>
    <row r="11" ht="15" customHeight="1">
      <c r="A11" s="8" t="inlineStr">
        <is>
          <t>control</t>
        </is>
      </c>
      <c r="B11" s="8" t="inlineStr">
        <is>
          <t>관제력</t>
        </is>
      </c>
      <c r="C11" s="8" t="inlineStr">
        <is>
          <t>stat</t>
        </is>
      </c>
      <c r="D11" s="8" t="n">
        <v>5</v>
      </c>
      <c r="E11" s="8" t="n">
        <v>100</v>
      </c>
      <c r="F11" s="8" t="b">
        <v>1</v>
      </c>
      <c r="G11" s="8">
        <f>"락온 거리 +" &amp; (J11*100) &amp; "% · 유도 선회 +" &amp; (N11*100) &amp; "%"</f>
        <v/>
      </c>
      <c r="H11" t="inlineStr">
        <is>
          <t>lock_range_multiplier</t>
        </is>
      </c>
      <c r="I11" t="inlineStr">
        <is>
          <t>add_per_rank</t>
        </is>
      </c>
      <c r="J11" t="n">
        <v>0.1</v>
      </c>
      <c r="K11" t="inlineStr">
        <is>
          <t>ratio</t>
        </is>
      </c>
      <c r="L11" t="inlineStr">
        <is>
          <t>missile_turn_multiplier</t>
        </is>
      </c>
      <c r="M11" t="inlineStr">
        <is>
          <t>add_per_rank</t>
        </is>
      </c>
      <c r="N11" t="n">
        <v>0.08</v>
      </c>
      <c r="O11" t="inlineStr">
        <is>
          <t>ratio</t>
        </is>
      </c>
    </row>
    <row r="12" ht="15" customHeight="1">
      <c r="A12" s="8" t="inlineStr">
        <is>
          <t>standardRack</t>
        </is>
      </c>
      <c r="B12" s="8" t="inlineStr">
        <is>
          <t>표준 미사일 랙 확장</t>
        </is>
      </c>
      <c r="C12" s="8" t="inlineStr">
        <is>
          <t>equipment</t>
        </is>
      </c>
      <c r="D12" s="8" t="n">
        <v>3</v>
      </c>
      <c r="E12" s="8" t="n">
        <v>100</v>
      </c>
      <c r="F12" s="8" t="b">
        <v>0</v>
      </c>
      <c r="G12" s="8">
        <f>"표준 미사일 탄창 +" &amp; J12 &amp; "발"</f>
        <v/>
      </c>
      <c r="H12" t="inlineStr">
        <is>
          <t>standard_ready_slots</t>
        </is>
      </c>
      <c r="I12" t="inlineStr">
        <is>
          <t>add_per_rank</t>
        </is>
      </c>
      <c r="J12" t="n">
        <v>4</v>
      </c>
      <c r="K12" t="inlineStr">
        <is>
          <t>count</t>
        </is>
      </c>
    </row>
    <row r="13" ht="15" customHeight="1">
      <c r="A13" s="8" t="inlineStr">
        <is>
          <t>multiRack</t>
        </is>
      </c>
      <c r="B13" s="8" t="inlineStr">
        <is>
          <t>멀티 미사일 랙 확장</t>
        </is>
      </c>
      <c r="C13" s="8" t="inlineStr">
        <is>
          <t>equipment</t>
        </is>
      </c>
      <c r="D13" s="8" t="n">
        <v>3</v>
      </c>
      <c r="E13" s="8" t="n">
        <v>100</v>
      </c>
      <c r="F13" s="8" t="b">
        <v>0</v>
      </c>
      <c r="G13" s="8">
        <f>"멀티 미사일 탄창 +" &amp; J13 &amp; "발"</f>
        <v/>
      </c>
      <c r="H13" t="inlineStr">
        <is>
          <t>multi_ready_slots</t>
        </is>
      </c>
      <c r="I13" t="inlineStr">
        <is>
          <t>add_per_rank</t>
        </is>
      </c>
      <c r="J13" t="n">
        <v>2</v>
      </c>
      <c r="K13" t="inlineStr">
        <is>
          <t>count</t>
        </is>
      </c>
    </row>
    <row r="14" ht="15" customHeight="1">
      <c r="A14" s="8" t="inlineStr">
        <is>
          <t>reload</t>
        </is>
      </c>
      <c r="B14" s="8" t="inlineStr">
        <is>
          <t>신속 재장전</t>
        </is>
      </c>
      <c r="C14" s="8" t="inlineStr">
        <is>
          <t>equipment</t>
        </is>
      </c>
      <c r="D14" s="8" t="n">
        <v>5</v>
      </c>
      <c r="E14" s="8" t="n">
        <v>100</v>
      </c>
      <c r="F14" s="8" t="b">
        <v>0</v>
      </c>
      <c r="G14" s="8">
        <f>"두 미사일의 기본 재장전 시간 -" &amp; (J14*100) &amp; "%"</f>
        <v/>
      </c>
      <c r="H14" t="inlineStr">
        <is>
          <t>missile_reload_multiplier</t>
        </is>
      </c>
      <c r="I14" t="inlineStr">
        <is>
          <t>subtract_per_rank</t>
        </is>
      </c>
      <c r="J14" t="n">
        <v>0.1</v>
      </c>
      <c r="K14" t="inlineStr">
        <is>
          <t>ratio</t>
        </is>
      </c>
    </row>
    <row r="15" ht="15" customHeight="1">
      <c r="A15" s="8" t="inlineStr">
        <is>
          <t>warhead</t>
        </is>
      </c>
      <c r="B15" s="8" t="inlineStr">
        <is>
          <t>고출력 탄두</t>
        </is>
      </c>
      <c r="C15" s="8" t="inlineStr">
        <is>
          <t>equipment</t>
        </is>
      </c>
      <c r="D15" s="8" t="n">
        <v>3</v>
      </c>
      <c r="E15" s="8" t="n">
        <v>100</v>
      </c>
      <c r="F15" s="8" t="b">
        <v>0</v>
      </c>
      <c r="G15" s="8">
        <f>"화력 보정 후 무기 피해 +" &amp; (J15*100) &amp; "% · 화력 3 필요"</f>
        <v/>
      </c>
      <c r="H15" t="inlineStr">
        <is>
          <t>damage_multiplier</t>
        </is>
      </c>
      <c r="I15" t="inlineStr">
        <is>
          <t>multiply_add_per_rank</t>
        </is>
      </c>
      <c r="J15" t="n">
        <v>0.1</v>
      </c>
      <c r="K15" t="inlineStr">
        <is>
          <t>ratio</t>
        </is>
      </c>
    </row>
    <row r="16" ht="15" customHeight="1">
      <c r="A16" s="8" t="inlineStr">
        <is>
          <t>guidance</t>
        </is>
      </c>
      <c r="B16" s="8" t="inlineStr">
        <is>
          <t>능동 유도 제어</t>
        </is>
      </c>
      <c r="C16" s="8" t="inlineStr">
        <is>
          <t>equipment</t>
        </is>
      </c>
      <c r="D16" s="8" t="n">
        <v>3</v>
      </c>
      <c r="E16" s="8" t="n">
        <v>100</v>
      </c>
      <c r="F16" s="8" t="b">
        <v>0</v>
      </c>
      <c r="G16" s="8">
        <f>"미사일 유도 선회 성능 +" &amp; (J16*100) &amp; "% · 관제력 3 필요"</f>
        <v/>
      </c>
      <c r="H16" t="inlineStr">
        <is>
          <t>missile_turn_multiplier</t>
        </is>
      </c>
      <c r="I16" t="inlineStr">
        <is>
          <t>add_per_rank</t>
        </is>
      </c>
      <c r="J16" t="n">
        <v>0.15</v>
      </c>
      <c r="K16" t="inlineStr">
        <is>
          <t>ratio</t>
        </is>
      </c>
    </row>
    <row r="17">
      <c r="A17" s="8" t="inlineStr">
        <is>
          <t>repair</t>
        </is>
      </c>
      <c r="B17" s="8" t="inlineStr">
        <is>
          <t>긴급 정비</t>
        </is>
      </c>
      <c r="C17" s="8" t="inlineStr">
        <is>
          <t>fallback</t>
        </is>
      </c>
      <c r="D17" s="8" t="n"/>
      <c r="E17" s="8" t="n">
        <v>0</v>
      </c>
      <c r="F17" s="8" t="b">
        <v>0</v>
      </c>
      <c r="G17" s="8">
        <f>"체력 " &amp; (J17*100) &amp; "% 회복 · 점수 +" &amp; N17</f>
        <v/>
      </c>
      <c r="H17" t="inlineStr">
        <is>
          <t>health_restore</t>
        </is>
      </c>
      <c r="I17" t="inlineStr">
        <is>
          <t>instant_ratio</t>
        </is>
      </c>
      <c r="J17" t="n">
        <v>0.3</v>
      </c>
      <c r="K17" t="inlineStr">
        <is>
          <t>max_health</t>
        </is>
      </c>
      <c r="L17" t="inlineStr">
        <is>
          <t>score</t>
        </is>
      </c>
      <c r="M17" t="inlineStr">
        <is>
          <t>instant_add</t>
        </is>
      </c>
      <c r="N17" t="n">
        <v>500</v>
      </c>
      <c r="O17" t="inlineStr">
        <is>
          <t>points</t>
        </is>
      </c>
    </row>
    <row r="18">
      <c r="A18" t="inlineStr">
        <is>
          <t>multiSalvo</t>
        </is>
      </c>
      <c r="B18" t="inlineStr">
        <is>
          <t>멀티 관제 확장</t>
        </is>
      </c>
      <c r="C18" t="inlineStr">
        <is>
          <t>equipment</t>
        </is>
      </c>
      <c r="D18" t="n">
        <v>2</v>
      </c>
      <c r="E18" t="n">
        <v>100</v>
      </c>
      <c r="F18" t="b">
        <v>0</v>
      </c>
      <c r="G18">
        <f>"멀티 동시 락온·발사 +" &amp; J18 &amp; " (4→" &amp; (4+J18) &amp; "→" &amp; (4+J18*2) &amp; "발) · 관제력 2 필요"</f>
        <v/>
      </c>
      <c r="H18" t="inlineStr">
        <is>
          <t>multi_lock_count</t>
        </is>
      </c>
      <c r="I18" t="inlineStr">
        <is>
          <t>add_per_rank</t>
        </is>
      </c>
      <c r="J18" t="n">
        <v>2</v>
      </c>
      <c r="K18" t="inlineStr">
        <is>
          <t>count; max=8</t>
        </is>
      </c>
    </row>
    <row r="19">
      <c r="A19" t="inlineStr">
        <is>
          <t>smartAim</t>
        </is>
      </c>
      <c r="B19" t="inlineStr">
        <is>
          <t>스마트 에임 확장</t>
        </is>
      </c>
      <c r="C19" t="inlineStr">
        <is>
          <t>equipment</t>
        </is>
      </c>
      <c r="D19" t="n">
        <v>3</v>
      </c>
      <c r="E19" t="n">
        <v>100</v>
      </c>
      <c r="F19" t="b">
        <v>0</v>
      </c>
      <c r="G19">
        <f>"스마트 기총 어시스트 반경 +" &amp; (J19*100) &amp; "%"</f>
        <v/>
      </c>
      <c r="H19" t="inlineStr">
        <is>
          <t>smart_assist_multiplier</t>
        </is>
      </c>
      <c r="I19" t="inlineStr">
        <is>
          <t>add_per_rank</t>
        </is>
      </c>
      <c r="J19" t="n">
        <v>0.2</v>
      </c>
      <c r="K19" t="inlineStr">
        <is>
          <t>ratio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4.25"/>
  <cols>
    <col width="18.75" customWidth="1" style="6" min="1" max="1"/>
    <col width="20" customWidth="1" style="6" min="2" max="2"/>
    <col width="12.5" customWidth="1" style="6" min="3" max="4"/>
  </cols>
  <sheetData>
    <row r="1" ht="19.15" customHeight="1">
      <c r="A1" s="1" t="inlineStr">
        <is>
          <t>카드 등장 조건</t>
        </is>
      </c>
    </row>
    <row r="2" ht="15" customHeight="1">
      <c r="A2" s="2" t="inlineStr">
        <is>
          <t>조건이 없는 카드는 이 표에 행을 만들지 않습니다.</t>
        </is>
      </c>
    </row>
    <row r="4" ht="15" customHeight="1">
      <c r="A4" s="3" t="inlineStr">
        <is>
          <t>card_id</t>
        </is>
      </c>
      <c r="B4" s="5" t="inlineStr">
        <is>
          <t>required_key</t>
        </is>
      </c>
      <c r="C4" s="5" t="inlineStr">
        <is>
          <t>operator</t>
        </is>
      </c>
      <c r="D4" s="4" t="inlineStr">
        <is>
          <t>value</t>
        </is>
      </c>
    </row>
    <row r="5" ht="15" customHeight="1">
      <c r="A5" s="9" t="inlineStr">
        <is>
          <t>카드 ID</t>
        </is>
      </c>
      <c r="B5" s="9" t="inlineStr">
        <is>
          <t>요구 스탯 키</t>
        </is>
      </c>
      <c r="C5" s="9" t="inlineStr">
        <is>
          <t>비교 연산자</t>
        </is>
      </c>
      <c r="D5" s="9" t="inlineStr">
        <is>
          <t>값</t>
        </is>
      </c>
    </row>
    <row r="6" ht="15" customHeight="1">
      <c r="A6" s="8" t="inlineStr">
        <is>
          <t>warhead</t>
        </is>
      </c>
      <c r="B6" s="8" t="inlineStr">
        <is>
          <t>power</t>
        </is>
      </c>
      <c r="C6" s="8" t="inlineStr">
        <is>
          <t>&gt;=</t>
        </is>
      </c>
      <c r="D6" s="8" t="n">
        <v>3</v>
      </c>
    </row>
    <row r="7">
      <c r="A7" s="8" t="inlineStr">
        <is>
          <t>guidance</t>
        </is>
      </c>
      <c r="B7" s="8" t="inlineStr">
        <is>
          <t>control</t>
        </is>
      </c>
      <c r="C7" s="8" t="inlineStr">
        <is>
          <t>&gt;=</t>
        </is>
      </c>
      <c r="D7" s="8" t="n">
        <v>3</v>
      </c>
    </row>
    <row r="8">
      <c r="A8" t="inlineStr">
        <is>
          <t>multiSalvo</t>
        </is>
      </c>
      <c r="B8" t="inlineStr">
        <is>
          <t>control</t>
        </is>
      </c>
      <c r="C8" t="inlineStr">
        <is>
          <t>&gt;=</t>
        </is>
      </c>
      <c r="D8" t="n">
        <v>2</v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2026-09-21T01:56:31Z</dcterms:created>
  <dcterms:modified xsi:type="dcterms:W3CDTF">2026-09-21T09:42:27Z</dcterms:modified>
  <cp:lastModifiedBy>rasiail</cp:lastModifiedBy>
</cp:coreProperties>
</file>